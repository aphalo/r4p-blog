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" sheetId="1" state="visible" r:id="rId3"/>
    <sheet name="SAT Chart" sheetId="2" state="visible" r:id="rId4"/>
  </sheets>
  <definedNames>
    <definedName function="false" hidden="false" localSheetId="0" name="CoeffNmolC" vbProcedure="false">Measure!$AG$4</definedName>
    <definedName function="false" hidden="false" localSheetId="0" name="CoeffNmolL" vbProcedure="false">Measure!$AG$3</definedName>
    <definedName function="false" hidden="false" localSheetId="0" name="CoeffNmolQ" vbProcedure="false">Measure!$AG$2</definedName>
    <definedName function="false" hidden="false" localSheetId="0" name="CoeffUgC" vbProcedure="false">Measure!$AH$4</definedName>
    <definedName function="false" hidden="false" localSheetId="0" name="CoeffUgL" vbProcedure="false">Measure!$AH$3</definedName>
    <definedName function="false" hidden="false" localSheetId="0" name="CoeffUgQ" vbProcedure="false">Measure!$AH$2</definedName>
    <definedName function="false" hidden="false" localSheetId="0" name="Offset310" vbProcedure="false">Measure!$J$2</definedName>
    <definedName function="false" hidden="false" localSheetId="0" name="Offset365" vbProcedure="false">Measure!$K$2</definedName>
    <definedName function="false" hidden="false" localSheetId="0" name="Offset450" vbProcedure="false">Measure!$L$2</definedName>
    <definedName function="false" hidden="false" localSheetId="0" name="Offset530" vbProcedure="false">Measure!$M$2</definedName>
    <definedName function="false" hidden="false" localSheetId="0" name="Offset615" vbProcedure="false">Measure!$N$2</definedName>
    <definedName function="false" hidden="false" localSheetId="0" name="Offset700" vbProcedure="false">Measure!$AB$2</definedName>
    <definedName function="false" hidden="false" localSheetId="0" name="Offset770" vbProcedure="false">Measure!$AC$2</definedName>
    <definedName function="false" hidden="false" localSheetId="0" name="OffsetFm" vbProcedure="false">Measure!$G$2</definedName>
    <definedName function="false" hidden="false" localSheetId="0" name="OffsetFo" vbProcedure="false">Measure!$F$2</definedName>
    <definedName function="false" hidden="false" localSheetId="0" name="Reference310" vbProcedure="false">Measure!$V$3</definedName>
    <definedName function="false" hidden="false" localSheetId="0" name="Reference365" vbProcedure="false">Measure!$W$3</definedName>
    <definedName function="false" hidden="false" localSheetId="0" name="Reference450" vbProcedure="false">Measure!$X$3</definedName>
    <definedName function="false" hidden="false" localSheetId="0" name="Reference530" vbProcedure="false">Measure!$Y$3</definedName>
    <definedName function="false" hidden="false" localSheetId="0" name="Reference700" vbProcedure="false">Measure!$AB$3</definedName>
    <definedName function="false" hidden="false" localSheetId="0" name="Reference770" vbProcedure="false">Measure!$AC$3</definedName>
    <definedName function="false" hidden="false" localSheetId="0" name="StandardF310" vbProcedure="false">Measure!$O$3</definedName>
    <definedName function="false" hidden="false" localSheetId="0" name="StandardF365" vbProcedure="false">Measure!$P$3</definedName>
    <definedName function="false" hidden="false" localSheetId="0" name="StandardF450" vbProcedure="false">Measure!$Q$3</definedName>
    <definedName function="false" hidden="false" localSheetId="0" name="StandardF530" vbProcedure="false">Measure!$R$3</definedName>
    <definedName function="false" hidden="false" localSheetId="0" name="StandardF615" vbProcedure="false">Measure!$S$3</definedName>
    <definedName function="false" hidden="false" localSheetId="0" name="StandardI310" vbProcedure="false">Measure!$J$3</definedName>
    <definedName function="false" hidden="false" localSheetId="0" name="StandardI365" vbProcedure="false">Measure!$K$3</definedName>
    <definedName function="false" hidden="false" localSheetId="0" name="StandardI450" vbProcedure="false">Measure!$L$3</definedName>
    <definedName function="false" hidden="false" localSheetId="0" name="StandardI530" vbProcedure="false">Measure!$M$3</definedName>
    <definedName function="false" hidden="false" localSheetId="0" name="StandardI615" vbProcedure="false">Measure!$N$3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<sst xmlns="http://schemas.openxmlformats.org/spreadsheetml/2006/main" count="88" uniqueCount="54">
  <si>
    <t xml:space="preserve">Date</t>
  </si>
  <si>
    <t xml:space="preserve">Time</t>
  </si>
  <si>
    <t xml:space="preserve">Type</t>
  </si>
  <si>
    <t xml:space="preserve">Number</t>
  </si>
  <si>
    <t xml:space="preserve">Marker</t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</si>
  <si>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Fo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</si>
  <si>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Fm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</si>
  <si>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o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</si>
  <si>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</si>
  <si>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</si>
  <si>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</si>
  <si>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</si>
  <si>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</si>
  <si>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</si>
  <si>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</si>
  <si>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</si>
  <si>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</si>
  <si>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</si>
  <si>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</si>
  <si>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V</t>
    </r>
    <r>
      <rPr>
        <b val="true"/>
        <sz val="11"/>
        <color theme="1"/>
        <rFont val="Calibri"/>
        <family val="2"/>
        <charset val="1"/>
      </rPr>
      <t xml:space="preserve">/F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</si>
  <si>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t xml:space="preserve">MesRef</t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</si>
  <si>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</si>
  <si>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</si>
  <si>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</si>
  <si>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</si>
  <si>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FLAV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</si>
  <si>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ANTH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</si>
  <si>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700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</si>
  <si>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770</t>
    </r>
  </si>
  <si>
    <t xml:space="preserve">Transmittance</t>
  </si>
  <si>
    <t xml:space="preserve">Absorbance</t>
  </si>
  <si>
    <t xml:space="preserve">Model</t>
  </si>
  <si>
    <r>
      <rPr>
        <b val="true"/>
        <sz val="11"/>
        <color theme="1"/>
        <rFont val="Calibri"/>
        <family val="2"/>
        <charset val="1"/>
      </rPr>
      <t xml:space="preserve">nmol/cm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</si>
  <si>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Calibri"/>
        <family val="2"/>
        <charset val="1"/>
      </rPr>
      <t xml:space="preserve">µg/cm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</si>
  <si>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t xml:space="preserve">NBI</t>
  </si>
  <si>
    <t xml:space="preserve">Satellite #</t>
  </si>
  <si>
    <t xml:space="preserve">DoP</t>
  </si>
  <si>
    <t xml:space="preserve">Latitude</t>
  </si>
  <si>
    <t xml:space="preserve">Longitude</t>
  </si>
  <si>
    <t xml:space="preserve">Height</t>
  </si>
  <si>
    <t xml:space="preserve">Leaf Az.</t>
  </si>
  <si>
    <t xml:space="preserve">Leaf Sl.</t>
  </si>
  <si>
    <t xml:space="preserve">Sun Az.</t>
  </si>
  <si>
    <t xml:space="preserve">Sun Elev.</t>
  </si>
  <si>
    <t xml:space="preserve">AoI</t>
  </si>
  <si>
    <t xml:space="preserve">Incidence</t>
  </si>
  <si>
    <t xml:space="preserve">Offset</t>
  </si>
  <si>
    <t xml:space="preserve">C3 Coeff Q</t>
  </si>
  <si>
    <t xml:space="preserve">Reference</t>
  </si>
  <si>
    <t xml:space="preserve">Hylotelephium upper side</t>
  </si>
  <si>
    <t xml:space="preserve">C3 Coeff L</t>
  </si>
  <si>
    <t xml:space="preserve">C3 Coeff C</t>
  </si>
  <si>
    <t xml:space="preserve">Sample</t>
  </si>
  <si>
    <t xml:space="preserve">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</si>
</sst>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0"/>
    <numFmt numFmtId="167" formatCode="yy\-mm\-dd"/>
    <numFmt numFmtId="168" formatCode="hh:mm:ss"/>
    <numFmt numFmtId="169" formatCode="0.00"/>
    <numFmt numFmtId="170" formatCode="0.0"/>
    <numFmt numFmtId="171" formatCode="0&quot; °&quot;"/>
    <numFmt numFmtId="172" formatCode="0.0&quot; %&quot;"/>
    <numFmt numFmtId="173" formatCode="0&quot; ms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vertAlign val="subscript"/>
      <sz val="11"/>
      <color theme="1"/>
      <name val="Calibri"/>
      <family val="2"/>
      <charset val="1"/>
    </font>
    <font>
      <b val="true"/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1"/>
  <cols>
    <col collapsed="false" customWidth="true" hidden="false" outlineLevel="0" max="3" min="3" style="0" width="10.71"/>
    <col collapsed="false" customWidth="true" hidden="true" outlineLevel="1" max="19" min="6" style="0" width="11.53"/>
    <col collapsed="false" customWidth="true" hidden="true" outlineLevel="1" max="31" min="28" style="0" width="11.53"/>
    <col collapsed="false" customWidth="true" hidden="false" outlineLevel="0" max="32" min="32" style="0" width="10.71"/>
    <col collapsed="false" customWidth="true" hidden="true" outlineLevel="1" max="45" min="36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C2" s="0" t="s">
        <v>46</v>
      </c>
      <c r="F2" s="2" t="n">
        <v>44</v>
      </c>
      <c r="G2" s="2" t="n">
        <v>44</v>
      </c>
      <c r="J2" s="2" t="n">
        <v>73</v>
      </c>
      <c r="K2" s="2" t="n">
        <v>45</v>
      </c>
      <c r="L2" s="2" t="n">
        <v>24</v>
      </c>
      <c r="M2" s="2" t="n">
        <v>73</v>
      </c>
      <c r="N2" s="2" t="n">
        <v>118</v>
      </c>
      <c r="AB2" s="2" t="n">
        <v>2</v>
      </c>
      <c r="AC2" s="2" t="n">
        <v>2</v>
      </c>
      <c r="AF2" s="0" t="s">
        <v>47</v>
      </c>
      <c r="AG2" s="2" t="n">
        <v>564.719970703125</v>
      </c>
      <c r="AH2" s="2" t="n">
        <v>505.429992675781</v>
      </c>
    </row>
    <row r="3" customFormat="false" ht="15" hidden="false" customHeight="false" outlineLevel="0" collapsed="false">
      <c r="C3" s="0" t="s">
        <v>48</v>
      </c>
      <c r="J3" s="2" t="n">
        <v>1262</v>
      </c>
      <c r="K3" s="2" t="n">
        <v>1262</v>
      </c>
      <c r="L3" s="2" t="n">
        <v>1254</v>
      </c>
      <c r="M3" s="2" t="n">
        <v>1239</v>
      </c>
      <c r="N3" s="2" t="n">
        <v>1238</v>
      </c>
      <c r="O3" s="2" t="n">
        <f aca="false">StandardI310-Offset310</f>
        <v>1189</v>
      </c>
      <c r="P3" s="2" t="n">
        <f aca="false">StandardI365-Offset365</f>
        <v>1217</v>
      </c>
      <c r="Q3" s="2" t="n">
        <f aca="false">StandardI450-Offset450</f>
        <v>1230</v>
      </c>
      <c r="R3" s="2" t="n">
        <f aca="false">StandardI530-Offset530</f>
        <v>1166</v>
      </c>
      <c r="S3" s="2" t="n">
        <f aca="false">StandardI615-Offset615</f>
        <v>1120</v>
      </c>
      <c r="U3" s="0" t="s">
        <v>49</v>
      </c>
      <c r="V3" s="3" t="n">
        <v>0.573</v>
      </c>
      <c r="W3" s="3" t="n">
        <v>1.105</v>
      </c>
      <c r="X3" s="3" t="n">
        <v>1.055</v>
      </c>
      <c r="Y3" s="3" t="n">
        <v>0.809</v>
      </c>
      <c r="AB3" s="2" t="n">
        <v>748</v>
      </c>
      <c r="AC3" s="2" t="n">
        <v>873</v>
      </c>
      <c r="AF3" s="0" t="s">
        <v>50</v>
      </c>
      <c r="AG3" s="2" t="n">
        <v>114.500465393066</v>
      </c>
      <c r="AH3" s="2" t="n">
        <v>102.48999786377</v>
      </c>
    </row>
    <row r="4" customFormat="false" ht="15" hidden="false" customHeight="false" outlineLevel="0" collapsed="false">
      <c r="AF4" s="0" t="s">
        <v>51</v>
      </c>
      <c r="AG4" s="2" t="n">
        <v>5.27810001373291</v>
      </c>
      <c r="AH4" s="2" t="n">
        <v>4.72389984130859</v>
      </c>
    </row>
    <row r="5" customFormat="false" ht="15" hidden="false" customHeight="false" outlineLevel="0" collapsed="false">
      <c r="A5" s="4" t="n">
        <v>46147.6778009259</v>
      </c>
      <c r="B5" s="5" t="n">
        <v>46147.6778009259</v>
      </c>
      <c r="C5" s="0" t="s">
        <v>52</v>
      </c>
      <c r="D5" s="2" t="n">
        <v>1</v>
      </c>
      <c r="E5" s="0" t="s">
        <v>53</v>
      </c>
      <c r="F5" s="2" t="n">
        <v>339</v>
      </c>
      <c r="G5" s="2" t="n">
        <v>1118</v>
      </c>
      <c r="H5" s="2" t="n">
        <f aca="false">IF(F5="","",F5-OffsetFo)</f>
        <v>295</v>
      </c>
      <c r="I5" s="2" t="n">
        <f aca="false">IF(G5="","",G5-OffsetFm)</f>
        <v>1074</v>
      </c>
      <c r="J5" s="2" t="n">
        <v>154</v>
      </c>
      <c r="K5" s="2" t="n">
        <v>232</v>
      </c>
      <c r="L5" s="2" t="n">
        <v>887</v>
      </c>
      <c r="M5" s="2" t="n">
        <v>699</v>
      </c>
      <c r="N5" s="2" t="n">
        <v>961</v>
      </c>
      <c r="O5" s="2" t="n">
        <f aca="false">IF(J5="","",J5-Offset310)</f>
        <v>81</v>
      </c>
      <c r="P5" s="2" t="n">
        <f aca="false">IF(K5="","",K5-Offset365)</f>
        <v>187</v>
      </c>
      <c r="Q5" s="2" t="n">
        <f aca="false">IF(L5="","",L5-Offset450)</f>
        <v>863</v>
      </c>
      <c r="R5" s="2" t="n">
        <f aca="false">IF(M5="","",M5-Offset530)</f>
        <v>626</v>
      </c>
      <c r="S5" s="2" t="n">
        <f aca="false">IF(N5="","",N5-Offset615)</f>
        <v>843</v>
      </c>
      <c r="T5" s="3" t="n">
        <f aca="false">IF(OR(H5="",I5="",I5&lt;50,H5&lt;10,I5&lt;H5),"",1-H5/I5)</f>
        <v>0.725325884543762</v>
      </c>
      <c r="V5" s="3" t="n">
        <f aca="false">IF(O5="","",(O5/S5)/(Reference310*StandardF310/StandardF615))</f>
        <v>0.15795704129475</v>
      </c>
      <c r="W5" s="3" t="n">
        <f aca="false">IF(P5="","",(P5/S5)/(Reference365*StandardF365/StandardF615))</f>
        <v>0.184747767187522</v>
      </c>
      <c r="X5" s="3" t="n">
        <f aca="false">IF(Q5="","",(Q5/S5)/(Reference450*StandardF450/StandardF615))</f>
        <v>0.883575515352394</v>
      </c>
      <c r="Y5" s="3" t="n">
        <f aca="false">IF(R5="","",(R5/S5)/(Reference530*StandardF530/StandardF615))</f>
        <v>0.881693642339691</v>
      </c>
      <c r="Z5" s="3" t="n">
        <f aca="false">IF(OR(W5="",W5&lt;=0),"",LOG10(1/W5))</f>
        <v>0.733420801669256</v>
      </c>
      <c r="AA5" s="3" t="n">
        <f aca="false">IF(OR(Y5="",Y5&lt;=0),"",LOG10(1/Y5))</f>
        <v>0.0546822907793987</v>
      </c>
      <c r="AB5" s="2" t="n">
        <v>409</v>
      </c>
      <c r="AC5" s="2" t="n">
        <v>616</v>
      </c>
      <c r="AD5" s="3" t="n">
        <f aca="false">IF(OR(AB5="",AC5=""),"",((AB5-Offset700)/(AC5-Offset770))*((Reference770-Offset770)/(Reference700-Offset700)))</f>
        <v>0.773936565046153</v>
      </c>
      <c r="AE5" s="3" t="n">
        <f aca="false">IF(OR(AD5="",AD5&lt;=0),"",-LOG10(AD5))</f>
        <v>0.111294634380953</v>
      </c>
      <c r="AG5" s="6" t="n">
        <f aca="false">IF(AE5="","",CoeffNmolQ*AE5^2+CoeffNmolL*AE5+CoeffNmolC)</f>
        <v>25.0162889021622</v>
      </c>
      <c r="AH5" s="6" t="n">
        <f aca="false">IF(AE5="","",CoeffUgQ*AE5^2+CoeffUgL*AE5+CoeffUgC)</f>
        <v>22.3909930828711</v>
      </c>
      <c r="AI5" s="7" t="n">
        <f aca="false">IF(OR(Z5="",AH5=""),"",AH5/Z5)</f>
        <v>30.5295309758184</v>
      </c>
      <c r="AO5" s="8" t="n">
        <v>151</v>
      </c>
      <c r="AP5" s="8" t="n">
        <v>23</v>
      </c>
      <c r="AT5" s="9" t="str">
        <f aca="false">IF(AS5="","",COS(RADIANS(AS5)) * 100)</f>
        <v/>
      </c>
    </row>
    <row r="6" customFormat="false" ht="15" hidden="false" customHeight="false" outlineLevel="0" collapsed="false">
      <c r="A6" s="4" t="n">
        <v>46147.6779861111</v>
      </c>
      <c r="B6" s="5" t="n">
        <v>46147.6779861111</v>
      </c>
      <c r="C6" s="0" t="s">
        <v>52</v>
      </c>
      <c r="D6" s="2" t="n">
        <v>2</v>
      </c>
      <c r="E6" s="0" t="s">
        <v>53</v>
      </c>
      <c r="F6" s="2" t="n">
        <v>454</v>
      </c>
      <c r="G6" s="2" t="n">
        <v>1119</v>
      </c>
      <c r="H6" s="2" t="n">
        <f aca="false">IF(F6="","",F6-OffsetFo)</f>
        <v>410</v>
      </c>
      <c r="I6" s="2" t="n">
        <f aca="false">IF(G6="","",G6-OffsetFm)</f>
        <v>1075</v>
      </c>
      <c r="J6" s="2" t="n">
        <v>300</v>
      </c>
      <c r="K6" s="2" t="n">
        <v>609</v>
      </c>
      <c r="L6" s="2" t="n">
        <v>1190</v>
      </c>
      <c r="M6" s="2" t="n">
        <v>947</v>
      </c>
      <c r="N6" s="2" t="n">
        <v>1333</v>
      </c>
      <c r="O6" s="2" t="n">
        <f aca="false">IF(J6="","",J6-Offset310)</f>
        <v>227</v>
      </c>
      <c r="P6" s="2" t="n">
        <f aca="false">IF(K6="","",K6-Offset365)</f>
        <v>564</v>
      </c>
      <c r="Q6" s="2" t="n">
        <f aca="false">IF(L6="","",L6-Offset450)</f>
        <v>1166</v>
      </c>
      <c r="R6" s="2" t="n">
        <f aca="false">IF(M6="","",M6-Offset530)</f>
        <v>874</v>
      </c>
      <c r="S6" s="2" t="n">
        <f aca="false">IF(N6="","",N6-Offset615)</f>
        <v>1215</v>
      </c>
      <c r="T6" s="3" t="n">
        <f aca="false">IF(OR(H6="",I6="",I6&lt;50,H6&lt;10,I6&lt;H6),"",1-H6/I6)</f>
        <v>0.618604651162791</v>
      </c>
      <c r="V6" s="3" t="n">
        <f aca="false">IF(O6="","",(O6/S6)/(Reference310*StandardF310/StandardF615))</f>
        <v>0.307136283891731</v>
      </c>
      <c r="W6" s="3" t="n">
        <f aca="false">IF(P6="","",(P6/S6)/(Reference365*StandardF365/StandardF615))</f>
        <v>0.38660546821083</v>
      </c>
      <c r="X6" s="3" t="n">
        <f aca="false">IF(Q6="","",(Q6/S6)/(Reference450*StandardF450/StandardF615))</f>
        <v>0.828290583531896</v>
      </c>
      <c r="Y6" s="3" t="n">
        <f aca="false">IF(R6="","",(R6/S6)/(Reference530*StandardF530/StandardF615))</f>
        <v>0.854094854245155</v>
      </c>
      <c r="Z6" s="3" t="n">
        <f aca="false">IF(OR(W6="",W6&lt;=0),"",LOG10(1/W6))</f>
        <v>0.412732007532002</v>
      </c>
      <c r="AA6" s="3" t="n">
        <f aca="false">IF(OR(Y6="",Y6&lt;=0),"",LOG10(1/Y6))</f>
        <v>0.068493894665014</v>
      </c>
      <c r="AB6" s="2" t="n">
        <v>484</v>
      </c>
      <c r="AC6" s="2" t="n">
        <v>683</v>
      </c>
      <c r="AD6" s="3" t="n">
        <f aca="false">IF(OR(AB6="",AC6=""),"",((AB6-Offset700)/(AC6-Offset770))*((Reference770-Offset770)/(Reference700-Offset700)))</f>
        <v>0.826378964856129</v>
      </c>
      <c r="AE6" s="3" t="n">
        <f aca="false">IF(OR(AD6="",AD6&lt;=0),"",-LOG10(AD6))</f>
        <v>0.0828207461389412</v>
      </c>
      <c r="AG6" s="6" t="n">
        <f aca="false">IF(AE6="","",CoeffNmolQ*AE6^2+CoeffNmolL*AE6+CoeffNmolC)</f>
        <v>18.634684127531</v>
      </c>
      <c r="AH6" s="6" t="n">
        <f aca="false">IF(AE6="","",CoeffUgQ*AE6^2+CoeffUgL*AE6+CoeffUgC)</f>
        <v>16.6790817500623</v>
      </c>
      <c r="AI6" s="7" t="n">
        <f aca="false">IF(OR(Z6="",AH6=""),"",AH6/Z6)</f>
        <v>40.4114084822197</v>
      </c>
      <c r="AO6" s="8" t="n">
        <v>150</v>
      </c>
      <c r="AP6" s="8" t="n">
        <v>23</v>
      </c>
      <c r="AT6" s="9" t="str">
        <f aca="false">IF(AS6="","",COS(RADIANS(AS6)) * 100)</f>
        <v/>
      </c>
    </row>
    <row r="7" customFormat="false" ht="15" hidden="false" customHeight="false" outlineLevel="0" collapsed="false">
      <c r="A7" s="4" t="n">
        <v>46147.6783796296</v>
      </c>
      <c r="B7" s="5" t="n">
        <v>46147.6783796296</v>
      </c>
      <c r="C7" s="0" t="s">
        <v>52</v>
      </c>
      <c r="D7" s="2" t="n">
        <v>3</v>
      </c>
      <c r="E7" s="0" t="s">
        <v>53</v>
      </c>
      <c r="F7" s="2" t="n">
        <v>322</v>
      </c>
      <c r="G7" s="2" t="n">
        <v>1213</v>
      </c>
      <c r="H7" s="2" t="n">
        <f aca="false">IF(F7="","",F7-OffsetFo)</f>
        <v>278</v>
      </c>
      <c r="I7" s="2" t="n">
        <f aca="false">IF(G7="","",G7-OffsetFm)</f>
        <v>1169</v>
      </c>
      <c r="J7" s="2" t="n">
        <v>153</v>
      </c>
      <c r="K7" s="2" t="n">
        <v>205</v>
      </c>
      <c r="L7" s="2" t="n">
        <v>830</v>
      </c>
      <c r="M7" s="2" t="n">
        <v>658</v>
      </c>
      <c r="N7" s="2" t="n">
        <v>873</v>
      </c>
      <c r="O7" s="2" t="n">
        <f aca="false">IF(J7="","",J7-Offset310)</f>
        <v>80</v>
      </c>
      <c r="P7" s="2" t="n">
        <f aca="false">IF(K7="","",K7-Offset365)</f>
        <v>160</v>
      </c>
      <c r="Q7" s="2" t="n">
        <f aca="false">IF(L7="","",L7-Offset450)</f>
        <v>806</v>
      </c>
      <c r="R7" s="2" t="n">
        <f aca="false">IF(M7="","",M7-Offset530)</f>
        <v>585</v>
      </c>
      <c r="S7" s="2" t="n">
        <f aca="false">IF(N7="","",N7-Offset615)</f>
        <v>755</v>
      </c>
      <c r="T7" s="3" t="n">
        <f aca="false">IF(OR(H7="",I7="",I7&lt;50,H7&lt;10,I7&lt;H7),"",1-H7/I7)</f>
        <v>0.762189905902481</v>
      </c>
      <c r="V7" s="3" t="n">
        <f aca="false">IF(O7="","",(O7/S7)/(Reference310*StandardF310/StandardF615))</f>
        <v>0.174190546397154</v>
      </c>
      <c r="W7" s="3" t="n">
        <f aca="false">IF(P7="","",(P7/S7)/(Reference365*StandardF365/StandardF615))</f>
        <v>0.176497353389191</v>
      </c>
      <c r="X7" s="3" t="n">
        <f aca="false">IF(Q7="","",(Q7/S7)/(Reference450*StandardF450/StandardF615))</f>
        <v>0.921400708310463</v>
      </c>
      <c r="Y7" s="3" t="n">
        <f aca="false">IF(R7="","",(R7/S7)/(Reference530*StandardF530/StandardF615))</f>
        <v>0.91998313308091</v>
      </c>
      <c r="Z7" s="3" t="n">
        <f aca="false">IF(OR(W7="",W7&lt;=0),"",LOG10(1/W7))</f>
        <v>0.753261802554276</v>
      </c>
      <c r="AA7" s="3" t="n">
        <f aca="false">IF(OR(Y7="",Y7&lt;=0),"",LOG10(1/Y7))</f>
        <v>0.0362201349120938</v>
      </c>
      <c r="AB7" s="2" t="n">
        <v>336</v>
      </c>
      <c r="AC7" s="2" t="n">
        <v>551</v>
      </c>
      <c r="AD7" s="3" t="n">
        <f aca="false">IF(OR(AB7="",AC7=""),"",((AB7-Offset700)/(AC7-Offset770))*((Reference770-Offset770)/(Reference700-Offset700)))</f>
        <v>0.710319029969186</v>
      </c>
      <c r="AE7" s="3" t="n">
        <f aca="false">IF(OR(AD7="",AD7&lt;=0),"",-LOG10(AD7))</f>
        <v>0.148546550103533</v>
      </c>
      <c r="AG7" s="6" t="n">
        <f aca="false">IF(AE7="","",CoeffNmolQ*AE7^2+CoeffNmolL*AE7+CoeffNmolC)</f>
        <v>34.7479037993702</v>
      </c>
      <c r="AH7" s="6" t="n">
        <f aca="false">IF(AE7="","",CoeffUgQ*AE7^2+CoeffUgL*AE7+CoeffUgC)</f>
        <v>31.1012928573878</v>
      </c>
      <c r="AI7" s="7" t="n">
        <f aca="false">IF(OR(Z7="",AH7=""),"",AH7/Z7)</f>
        <v>41.2888224942838</v>
      </c>
      <c r="AO7" s="8" t="n">
        <v>337</v>
      </c>
      <c r="AP7" s="8" t="n">
        <v>30</v>
      </c>
      <c r="AT7" s="9" t="str">
        <f aca="false">IF(AS7="","",COS(RADIANS(AS7)) * 100)</f>
        <v/>
      </c>
    </row>
    <row r="8" customFormat="false" ht="15" hidden="false" customHeight="false" outlineLevel="0" collapsed="false">
      <c r="A8" s="4" t="n">
        <v>46147.6785648148</v>
      </c>
      <c r="B8" s="5" t="n">
        <v>46147.6785648148</v>
      </c>
      <c r="C8" s="0" t="s">
        <v>52</v>
      </c>
      <c r="D8" s="2" t="n">
        <v>4</v>
      </c>
      <c r="E8" s="0" t="s">
        <v>53</v>
      </c>
      <c r="F8" s="2" t="n">
        <v>372</v>
      </c>
      <c r="G8" s="2" t="n">
        <v>1314</v>
      </c>
      <c r="H8" s="2" t="n">
        <f aca="false">IF(F8="","",F8-OffsetFo)</f>
        <v>328</v>
      </c>
      <c r="I8" s="2" t="n">
        <f aca="false">IF(G8="","",G8-OffsetFm)</f>
        <v>1270</v>
      </c>
      <c r="J8" s="2" t="n">
        <v>142</v>
      </c>
      <c r="K8" s="2" t="n">
        <v>214</v>
      </c>
      <c r="L8" s="2" t="n">
        <v>957</v>
      </c>
      <c r="M8" s="2" t="n">
        <v>777</v>
      </c>
      <c r="N8" s="2" t="n">
        <v>1037</v>
      </c>
      <c r="O8" s="2" t="n">
        <f aca="false">IF(J8="","",J8-Offset310)</f>
        <v>69</v>
      </c>
      <c r="P8" s="2" t="n">
        <f aca="false">IF(K8="","",K8-Offset365)</f>
        <v>169</v>
      </c>
      <c r="Q8" s="2" t="n">
        <f aca="false">IF(L8="","",L8-Offset450)</f>
        <v>933</v>
      </c>
      <c r="R8" s="2" t="n">
        <f aca="false">IF(M8="","",M8-Offset530)</f>
        <v>704</v>
      </c>
      <c r="S8" s="2" t="n">
        <f aca="false">IF(N8="","",N8-Offset615)</f>
        <v>919</v>
      </c>
      <c r="T8" s="3" t="n">
        <f aca="false">IF(OR(H8="",I8="",I8&lt;50,H8&lt;10,I8&lt;H8),"",1-H8/I8)</f>
        <v>0.741732283464567</v>
      </c>
      <c r="V8" s="3" t="n">
        <f aca="false">IF(O8="","",(O8/S8)/(Reference310*StandardF310/StandardF615))</f>
        <v>0.123428407434164</v>
      </c>
      <c r="W8" s="3" t="n">
        <f aca="false">IF(P8="","",(P8/S8)/(Reference365*StandardF365/StandardF615))</f>
        <v>0.153156826752542</v>
      </c>
      <c r="X8" s="3" t="n">
        <f aca="false">IF(Q8="","",(Q8/S8)/(Reference450*StandardF450/StandardF615))</f>
        <v>0.8762470804447</v>
      </c>
      <c r="Y8" s="3" t="n">
        <f aca="false">IF(R8="","",(R8/S8)/(Reference530*StandardF530/StandardF615))</f>
        <v>0.909553183774942</v>
      </c>
      <c r="Z8" s="3" t="n">
        <f aca="false">IF(OR(W8="",W8&lt;=0),"",LOG10(1/W8))</f>
        <v>0.814863640353451</v>
      </c>
      <c r="AA8" s="3" t="n">
        <f aca="false">IF(OR(Y8="",Y8&lt;=0),"",LOG10(1/Y8))</f>
        <v>0.0411719016090851</v>
      </c>
      <c r="AB8" s="2" t="n">
        <v>467</v>
      </c>
      <c r="AC8" s="2" t="n">
        <v>685</v>
      </c>
      <c r="AD8" s="3" t="n">
        <f aca="false">IF(OR(AB8="",AC8=""),"",((AB8-Offset700)/(AC8-Offset770))*((Reference770-Offset770)/(Reference700-Offset700)))</f>
        <v>0.794898315663039</v>
      </c>
      <c r="AE8" s="3" t="n">
        <f aca="false">IF(OR(AD8="",AD8&lt;=0),"",-LOG10(AD8))</f>
        <v>0.0996884232565842</v>
      </c>
      <c r="AG8" s="6" t="n">
        <f aca="false">IF(AE8="","",CoeffNmolQ*AE8^2+CoeffNmolL*AE8+CoeffNmolC)</f>
        <v>22.3045346791139</v>
      </c>
      <c r="AH8" s="6" t="n">
        <f aca="false">IF(AE8="","",CoeffUgQ*AE8^2+CoeffUgL*AE8+CoeffUgC)</f>
        <v>19.9638190756253</v>
      </c>
      <c r="AI8" s="7" t="n">
        <f aca="false">IF(OR(Z8="",AH8=""),"",AH8/Z8)</f>
        <v>24.4995826135597</v>
      </c>
      <c r="AO8" s="8" t="n">
        <v>290</v>
      </c>
      <c r="AP8" s="8" t="n">
        <v>28</v>
      </c>
      <c r="AT8" s="9" t="str">
        <f aca="false">IF(AS8="","",COS(RADIANS(AS8)) * 100)</f>
        <v/>
      </c>
    </row>
    <row r="9" customFormat="false" ht="15" hidden="false" customHeight="false" outlineLevel="0" collapsed="false">
      <c r="A9" s="4" t="n">
        <v>46147.6786921296</v>
      </c>
      <c r="B9" s="5" t="n">
        <v>46147.6786921296</v>
      </c>
      <c r="C9" s="0" t="s">
        <v>52</v>
      </c>
      <c r="D9" s="2" t="n">
        <v>5</v>
      </c>
      <c r="E9" s="0" t="s">
        <v>53</v>
      </c>
      <c r="F9" s="2" t="n">
        <v>296</v>
      </c>
      <c r="G9" s="2" t="n">
        <v>1129</v>
      </c>
      <c r="H9" s="2" t="n">
        <f aca="false">IF(F9="","",F9-OffsetFo)</f>
        <v>252</v>
      </c>
      <c r="I9" s="2" t="n">
        <f aca="false">IF(G9="","",G9-OffsetFm)</f>
        <v>1085</v>
      </c>
      <c r="J9" s="2" t="n">
        <v>155</v>
      </c>
      <c r="K9" s="2" t="n">
        <v>225</v>
      </c>
      <c r="L9" s="2" t="n">
        <v>746</v>
      </c>
      <c r="M9" s="2" t="n">
        <v>616</v>
      </c>
      <c r="N9" s="2" t="n">
        <v>819</v>
      </c>
      <c r="O9" s="2" t="n">
        <f aca="false">IF(J9="","",J9-Offset310)</f>
        <v>82</v>
      </c>
      <c r="P9" s="2" t="n">
        <f aca="false">IF(K9="","",K9-Offset365)</f>
        <v>180</v>
      </c>
      <c r="Q9" s="2" t="n">
        <f aca="false">IF(L9="","",L9-Offset450)</f>
        <v>722</v>
      </c>
      <c r="R9" s="2" t="n">
        <f aca="false">IF(M9="","",M9-Offset530)</f>
        <v>543</v>
      </c>
      <c r="S9" s="2" t="n">
        <f aca="false">IF(N9="","",N9-Offset615)</f>
        <v>701</v>
      </c>
      <c r="T9" s="3" t="n">
        <f aca="false">IF(OR(H9="",I9="",I9&lt;50,H9&lt;10,I9&lt;H9),"",1-H9/I9)</f>
        <v>0.767741935483871</v>
      </c>
      <c r="V9" s="3" t="n">
        <f aca="false">IF(O9="","",(O9/S9)/(Reference310*StandardF310/StandardF615))</f>
        <v>0.192299157051494</v>
      </c>
      <c r="W9" s="3" t="n">
        <f aca="false">IF(P9="","",(P9/S9)/(Reference365*StandardF365/StandardF615))</f>
        <v>0.213855120591932</v>
      </c>
      <c r="X9" s="3" t="n">
        <f aca="false">IF(Q9="","",(Q9/S9)/(Reference450*StandardF450/StandardF615))</f>
        <v>0.888954701555588</v>
      </c>
      <c r="Y9" s="3" t="n">
        <f aca="false">IF(R9="","",(R9/S9)/(Reference530*StandardF530/StandardF615))</f>
        <v>0.919713925536207</v>
      </c>
      <c r="Z9" s="3" t="n">
        <f aca="false">IF(OR(W9="",W9&lt;=0),"",LOG10(1/W9))</f>
        <v>0.669880346444365</v>
      </c>
      <c r="AA9" s="3" t="n">
        <f aca="false">IF(OR(Y9="",Y9&lt;=0),"",LOG10(1/Y9))</f>
        <v>0.0363472377428977</v>
      </c>
      <c r="AB9" s="2" t="n">
        <v>385</v>
      </c>
      <c r="AC9" s="2" t="n">
        <v>643</v>
      </c>
      <c r="AD9" s="3" t="n">
        <f aca="false">IF(OR(AB9="",AC9=""),"",((AB9-Offset700)/(AC9-Offset770))*((Reference770-Offset770)/(Reference700-Offset700)))</f>
        <v>0.697621845892603</v>
      </c>
      <c r="AE9" s="3" t="n">
        <f aca="false">IF(OR(AD9="",AD9&lt;=0),"",-LOG10(AD9))</f>
        <v>0.1563799280152</v>
      </c>
      <c r="AG9" s="6" t="n">
        <f aca="false">IF(AE9="","",CoeffNmolQ*AE9^2+CoeffNmolL*AE9+CoeffNmolC)</f>
        <v>36.9937217878459</v>
      </c>
      <c r="AH9" s="6" t="n">
        <f aca="false">IF(AE9="","",CoeffUgQ*AE9^2+CoeffUgL*AE9+CoeffUgC)</f>
        <v>33.1114080160722</v>
      </c>
      <c r="AI9" s="7" t="n">
        <f aca="false">IF(OR(Z9="",AH9=""),"",AH9/Z9)</f>
        <v>49.4288393320137</v>
      </c>
      <c r="AO9" s="8" t="n">
        <v>23</v>
      </c>
      <c r="AP9" s="8" t="n">
        <v>20</v>
      </c>
      <c r="AT9" s="9" t="str">
        <f aca="false">IF(AS9="","",COS(RADIANS(AS9)) * 100)</f>
        <v/>
      </c>
    </row>
    <row r="10" customFormat="false" ht="15" hidden="false" customHeight="false" outlineLevel="0" collapsed="false">
      <c r="A10" s="4" t="n">
        <v>46147.6790625</v>
      </c>
      <c r="B10" s="5" t="n">
        <v>46147.6790625</v>
      </c>
      <c r="C10" s="0" t="s">
        <v>52</v>
      </c>
      <c r="D10" s="2" t="n">
        <v>6</v>
      </c>
      <c r="E10" s="0" t="s">
        <v>53</v>
      </c>
      <c r="F10" s="2" t="n">
        <v>283</v>
      </c>
      <c r="G10" s="2" t="n">
        <v>1047</v>
      </c>
      <c r="H10" s="2" t="n">
        <f aca="false">IF(F10="","",F10-OffsetFo)</f>
        <v>239</v>
      </c>
      <c r="I10" s="2" t="n">
        <f aca="false">IF(G10="","",G10-OffsetFm)</f>
        <v>1003</v>
      </c>
      <c r="J10" s="2" t="n">
        <v>199</v>
      </c>
      <c r="K10" s="2" t="n">
        <v>308</v>
      </c>
      <c r="L10" s="2" t="n">
        <v>726</v>
      </c>
      <c r="M10" s="2" t="n">
        <v>579</v>
      </c>
      <c r="N10" s="2" t="n">
        <v>762</v>
      </c>
      <c r="O10" s="2" t="n">
        <f aca="false">IF(J10="","",J10-Offset310)</f>
        <v>126</v>
      </c>
      <c r="P10" s="2" t="n">
        <f aca="false">IF(K10="","",K10-Offset365)</f>
        <v>263</v>
      </c>
      <c r="Q10" s="2" t="n">
        <f aca="false">IF(L10="","",L10-Offset450)</f>
        <v>702</v>
      </c>
      <c r="R10" s="2" t="n">
        <f aca="false">IF(M10="","",M10-Offset530)</f>
        <v>506</v>
      </c>
      <c r="S10" s="2" t="n">
        <f aca="false">IF(N10="","",N10-Offset615)</f>
        <v>644</v>
      </c>
      <c r="T10" s="3" t="n">
        <f aca="false">IF(OR(H10="",I10="",I10&lt;50,H10&lt;10,I10&lt;H10),"",1-H10/I10)</f>
        <v>0.761714855433699</v>
      </c>
      <c r="V10" s="3" t="n">
        <f aca="false">IF(O10="","",(O10/S10)/(Reference310*StandardF310/StandardF615))</f>
        <v>0.321637163795832</v>
      </c>
      <c r="W10" s="3" t="n">
        <f aca="false">IF(P10="","",(P10/S10)/(Reference365*StandardF365/StandardF615))</f>
        <v>0.340122253258198</v>
      </c>
      <c r="X10" s="3" t="n">
        <f aca="false">IF(Q10="","",(Q10/S10)/(Reference450*StandardF450/StandardF615))</f>
        <v>0.940831168047926</v>
      </c>
      <c r="Y10" s="3" t="n">
        <f aca="false">IF(R10="","",(R10/S10)/(Reference530*StandardF530/StandardF615))</f>
        <v>0.932901089162022</v>
      </c>
      <c r="Z10" s="3" t="n">
        <f aca="false">IF(OR(W10="",W10&lt;=0),"",LOG10(1/W10))</f>
        <v>0.468364952451067</v>
      </c>
      <c r="AA10" s="3" t="n">
        <f aca="false">IF(OR(Y10="",Y10&lt;=0),"",LOG10(1/Y10))</f>
        <v>0.030164399885099</v>
      </c>
      <c r="AB10" s="2" t="n">
        <v>418</v>
      </c>
      <c r="AC10" s="2" t="n">
        <v>685</v>
      </c>
      <c r="AD10" s="3" t="n">
        <f aca="false">IF(OR(AB10="",AC10=""),"",((AB10-Offset700)/(AC10-Offset770))*((Reference770-Offset770)/(Reference700-Offset700)))</f>
        <v>0.711134837238331</v>
      </c>
      <c r="AE10" s="3" t="n">
        <f aca="false">IF(OR(AD10="",AD10&lt;=0),"",-LOG10(AD10))</f>
        <v>0.148048045519795</v>
      </c>
      <c r="AG10" s="6" t="n">
        <f aca="false">IF(AE10="","",CoeffNmolQ*AE10^2+CoeffNmolL*AE10+CoeffNmolC)</f>
        <v>34.6073288184496</v>
      </c>
      <c r="AH10" s="6" t="n">
        <f aca="false">IF(AE10="","",CoeffUgQ*AE10^2+CoeffUgL*AE10+CoeffUgC)</f>
        <v>30.975471396087</v>
      </c>
      <c r="AI10" s="7" t="n">
        <f aca="false">IF(OR(Z10="",AH10=""),"",AH10/Z10)</f>
        <v>66.13533150588</v>
      </c>
      <c r="AO10" s="8" t="n">
        <v>358</v>
      </c>
      <c r="AP10" s="8" t="n">
        <v>7</v>
      </c>
      <c r="AT10" s="9" t="str">
        <f aca="false">IF(AS10="","",COS(RADIANS(AS10)) * 100)</f>
        <v/>
      </c>
    </row>
    <row r="11" customFormat="false" ht="15" hidden="false" customHeight="false" outlineLevel="0" collapsed="false">
      <c r="A11" s="4" t="n">
        <v>46147.6792361111</v>
      </c>
      <c r="B11" s="5" t="n">
        <v>46147.6792361111</v>
      </c>
      <c r="C11" s="0" t="s">
        <v>52</v>
      </c>
      <c r="D11" s="2" t="n">
        <v>7</v>
      </c>
      <c r="E11" s="0" t="s">
        <v>53</v>
      </c>
      <c r="F11" s="2" t="n">
        <v>276</v>
      </c>
      <c r="G11" s="2" t="n">
        <v>1136</v>
      </c>
      <c r="H11" s="2" t="n">
        <f aca="false">IF(F11="","",F11-OffsetFo)</f>
        <v>232</v>
      </c>
      <c r="I11" s="2" t="n">
        <f aca="false">IF(G11="","",G11-OffsetFm)</f>
        <v>1092</v>
      </c>
      <c r="J11" s="2" t="n">
        <v>226</v>
      </c>
      <c r="K11" s="2" t="n">
        <v>345</v>
      </c>
      <c r="L11" s="2" t="n">
        <v>698</v>
      </c>
      <c r="M11" s="2" t="n">
        <v>563</v>
      </c>
      <c r="N11" s="2" t="n">
        <v>745</v>
      </c>
      <c r="O11" s="2" t="n">
        <f aca="false">IF(J11="","",J11-Offset310)</f>
        <v>153</v>
      </c>
      <c r="P11" s="2" t="n">
        <f aca="false">IF(K11="","",K11-Offset365)</f>
        <v>300</v>
      </c>
      <c r="Q11" s="2" t="n">
        <f aca="false">IF(L11="","",L11-Offset450)</f>
        <v>674</v>
      </c>
      <c r="R11" s="2" t="n">
        <f aca="false">IF(M11="","",M11-Offset530)</f>
        <v>490</v>
      </c>
      <c r="S11" s="2" t="n">
        <f aca="false">IF(N11="","",N11-Offset615)</f>
        <v>627</v>
      </c>
      <c r="T11" s="3" t="n">
        <f aca="false">IF(OR(H11="",I11="",I11&lt;50,H11&lt;10,I11&lt;H11),"",1-H11/I11)</f>
        <v>0.787545787545788</v>
      </c>
      <c r="V11" s="3" t="n">
        <f aca="false">IF(O11="","",(O11/S11)/(Reference310*StandardF310/StandardF615))</f>
        <v>0.401148743362584</v>
      </c>
      <c r="W11" s="3" t="n">
        <f aca="false">IF(P11="","",(P11/S11)/(Reference365*StandardF365/StandardF615))</f>
        <v>0.398491333160405</v>
      </c>
      <c r="X11" s="3" t="n">
        <f aca="false">IF(Q11="","",(Q11/S11)/(Reference450*StandardF450/StandardF615))</f>
        <v>0.927796665435758</v>
      </c>
      <c r="Y11" s="3" t="n">
        <f aca="false">IF(R11="","",(R11/S11)/(Reference530*StandardF530/StandardF615))</f>
        <v>0.927896400123455</v>
      </c>
      <c r="Z11" s="3" t="n">
        <f aca="false">IF(OR(W11="",W11&lt;=0),"",LOG10(1/W11))</f>
        <v>0.399581119692067</v>
      </c>
      <c r="AA11" s="3" t="n">
        <f aca="false">IF(OR(Y11="",Y11&lt;=0),"",LOG10(1/Y11))</f>
        <v>0.0325005101672888</v>
      </c>
      <c r="AB11" s="2" t="n">
        <v>414</v>
      </c>
      <c r="AC11" s="2" t="n">
        <v>687</v>
      </c>
      <c r="AD11" s="3" t="n">
        <f aca="false">IF(OR(AB11="",AC11=""),"",((AB11-Offset700)/(AC11-Offset770))*((Reference770-Offset770)/(Reference700-Offset700)))</f>
        <v>0.702240660652433</v>
      </c>
      <c r="AE11" s="3" t="n">
        <f aca="false">IF(OR(AD11="",AD11&lt;=0),"",-LOG10(AD11))</f>
        <v>0.153514027924297</v>
      </c>
      <c r="AG11" s="6" t="n">
        <f aca="false">IF(AE11="","",CoeffNmolQ*AE11^2+CoeffNmolL*AE11+CoeffNmolC)</f>
        <v>36.1640329038982</v>
      </c>
      <c r="AH11" s="6" t="n">
        <f aca="false">IF(AE11="","",CoeffUgQ*AE11^2+CoeffUgL*AE11+CoeffUgC)</f>
        <v>32.3687968507513</v>
      </c>
      <c r="AI11" s="7" t="n">
        <f aca="false">IF(OR(Z11="",AH11=""),"",AH11/Z11)</f>
        <v>81.0068225337972</v>
      </c>
      <c r="AO11" s="8" t="n">
        <v>350</v>
      </c>
      <c r="AP11" s="8" t="n">
        <v>20</v>
      </c>
      <c r="AT11" s="9" t="str">
        <f aca="false">IF(AS11="","",COS(RADIANS(AS11)) * 100)</f>
        <v/>
      </c>
    </row>
    <row r="12" customFormat="false" ht="15" hidden="false" customHeight="false" outlineLevel="0" collapsed="false">
      <c r="A12" s="4" t="n">
        <v>46147.6795023148</v>
      </c>
      <c r="B12" s="5" t="n">
        <v>46147.6795023148</v>
      </c>
      <c r="C12" s="0" t="s">
        <v>52</v>
      </c>
      <c r="D12" s="2" t="n">
        <v>8</v>
      </c>
      <c r="E12" s="0" t="s">
        <v>53</v>
      </c>
      <c r="F12" s="2" t="n">
        <v>283</v>
      </c>
      <c r="G12" s="2" t="n">
        <v>1099</v>
      </c>
      <c r="H12" s="2" t="n">
        <f aca="false">IF(F12="","",F12-OffsetFo)</f>
        <v>239</v>
      </c>
      <c r="I12" s="2" t="n">
        <f aca="false">IF(G12="","",G12-OffsetFm)</f>
        <v>1055</v>
      </c>
      <c r="J12" s="2" t="n">
        <v>170</v>
      </c>
      <c r="K12" s="2" t="n">
        <v>267</v>
      </c>
      <c r="L12" s="2" t="n">
        <v>706</v>
      </c>
      <c r="M12" s="2" t="n">
        <v>580</v>
      </c>
      <c r="N12" s="2" t="n">
        <v>773</v>
      </c>
      <c r="O12" s="2" t="n">
        <f aca="false">IF(J12="","",J12-Offset310)</f>
        <v>97</v>
      </c>
      <c r="P12" s="2" t="n">
        <f aca="false">IF(K12="","",K12-Offset365)</f>
        <v>222</v>
      </c>
      <c r="Q12" s="2" t="n">
        <f aca="false">IF(L12="","",L12-Offset450)</f>
        <v>682</v>
      </c>
      <c r="R12" s="2" t="n">
        <f aca="false">IF(M12="","",M12-Offset530)</f>
        <v>507</v>
      </c>
      <c r="S12" s="2" t="n">
        <f aca="false">IF(N12="","",N12-Offset615)</f>
        <v>655</v>
      </c>
      <c r="T12" s="3" t="n">
        <f aca="false">IF(OR(H12="",I12="",I12&lt;50,H12&lt;10,I12&lt;H12),"",1-H12/I12)</f>
        <v>0.77345971563981</v>
      </c>
      <c r="V12" s="3" t="n">
        <f aca="false">IF(O12="","",(O12/S12)/(Reference310*StandardF310/StandardF615))</f>
        <v>0.243451234072434</v>
      </c>
      <c r="W12" s="3" t="n">
        <f aca="false">IF(P12="","",(P12/S12)/(Reference365*StandardF365/StandardF615))</f>
        <v>0.282277875969106</v>
      </c>
      <c r="X12" s="3" t="n">
        <f aca="false">IF(Q12="","",(Q12/S12)/(Reference450*StandardF450/StandardF615))</f>
        <v>0.898676791840094</v>
      </c>
      <c r="Y12" s="3" t="n">
        <f aca="false">IF(R12="","",(R12/S12)/(Reference530*StandardF530/StandardF615))</f>
        <v>0.91904676347981</v>
      </c>
      <c r="Z12" s="3" t="n">
        <f aca="false">IF(OR(W12="",W12&lt;=0),"",LOG10(1/W12))</f>
        <v>0.549323159122158</v>
      </c>
      <c r="AA12" s="3" t="n">
        <f aca="false">IF(OR(Y12="",Y12&lt;=0),"",LOG10(1/Y12))</f>
        <v>0.0366623900235331</v>
      </c>
      <c r="AB12" s="2" t="n">
        <v>393</v>
      </c>
      <c r="AC12" s="2" t="n">
        <v>661</v>
      </c>
      <c r="AD12" s="3" t="n">
        <f aca="false">IF(OR(AB12="",AC12=""),"",((AB12-Offset700)/(AC12-Offset770))*((Reference770-Offset770)/(Reference700-Offset700)))</f>
        <v>0.692740646116669</v>
      </c>
      <c r="AE12" s="3" t="n">
        <f aca="false">IF(OR(AD12="",AD12&lt;=0),"",-LOG10(AD12))</f>
        <v>0.159429329663149</v>
      </c>
      <c r="AG12" s="6" t="n">
        <f aca="false">IF(AE12="","",CoeffNmolQ*AE12^2+CoeffNmolL*AE12+CoeffNmolC)</f>
        <v>37.8867215572997</v>
      </c>
      <c r="AH12" s="6" t="n">
        <f aca="false">IF(AE12="","",CoeffUgQ*AE12^2+CoeffUgL*AE12+CoeffUgC)</f>
        <v>33.9106850617441</v>
      </c>
      <c r="AI12" s="7" t="n">
        <f aca="false">IF(OR(Z12="",AH12=""),"",AH12/Z12)</f>
        <v>61.7317593453276</v>
      </c>
      <c r="AO12" s="8" t="n">
        <v>126</v>
      </c>
      <c r="AP12" s="8" t="n">
        <v>3</v>
      </c>
      <c r="AT12" s="9" t="str">
        <f aca="false">IF(AS12="","",COS(RADIANS(AS12)) * 100)</f>
        <v/>
      </c>
    </row>
    <row r="13" customFormat="false" ht="15" hidden="false" customHeight="false" outlineLevel="0" collapsed="false">
      <c r="A13" s="4" t="n">
        <v>46147.6796527778</v>
      </c>
      <c r="B13" s="5" t="n">
        <v>46147.6796527778</v>
      </c>
      <c r="C13" s="0" t="s">
        <v>52</v>
      </c>
      <c r="D13" s="2" t="n">
        <v>9</v>
      </c>
      <c r="E13" s="0" t="s">
        <v>53</v>
      </c>
      <c r="F13" s="2" t="n">
        <v>282</v>
      </c>
      <c r="G13" s="2" t="n">
        <v>1039</v>
      </c>
      <c r="H13" s="2" t="n">
        <f aca="false">IF(F13="","",F13-OffsetFo)</f>
        <v>238</v>
      </c>
      <c r="I13" s="2" t="n">
        <f aca="false">IF(G13="","",G13-OffsetFm)</f>
        <v>995</v>
      </c>
      <c r="J13" s="2" t="n">
        <v>242</v>
      </c>
      <c r="K13" s="2" t="n">
        <v>405</v>
      </c>
      <c r="L13" s="2" t="n">
        <v>704</v>
      </c>
      <c r="M13" s="2" t="n">
        <v>573</v>
      </c>
      <c r="N13" s="2" t="n">
        <v>770</v>
      </c>
      <c r="O13" s="2" t="n">
        <f aca="false">IF(J13="","",J13-Offset310)</f>
        <v>169</v>
      </c>
      <c r="P13" s="2" t="n">
        <f aca="false">IF(K13="","",K13-Offset365)</f>
        <v>360</v>
      </c>
      <c r="Q13" s="2" t="n">
        <f aca="false">IF(L13="","",L13-Offset450)</f>
        <v>680</v>
      </c>
      <c r="R13" s="2" t="n">
        <f aca="false">IF(M13="","",M13-Offset530)</f>
        <v>500</v>
      </c>
      <c r="S13" s="2" t="n">
        <f aca="false">IF(N13="","",N13-Offset615)</f>
        <v>652</v>
      </c>
      <c r="T13" s="3" t="n">
        <f aca="false">IF(OR(H13="",I13="",I13&lt;50,H13&lt;10,I13&lt;H13),"",1-H13/I13)</f>
        <v>0.760804020100503</v>
      </c>
      <c r="V13" s="3" t="n">
        <f aca="false">IF(O13="","",(O13/S13)/(Reference310*StandardF310/StandardF615))</f>
        <v>0.42610894876428</v>
      </c>
      <c r="W13" s="3" t="n">
        <f aca="false">IF(P13="","",(P13/S13)/(Reference365*StandardF365/StandardF615))</f>
        <v>0.459854109002896</v>
      </c>
      <c r="X13" s="3" t="n">
        <f aca="false">IF(Q13="","",(Q13/S13)/(Reference450*StandardF450/StandardF615))</f>
        <v>0.900164265795247</v>
      </c>
      <c r="Y13" s="3" t="n">
        <f aca="false">IF(R13="","",(R13/S13)/(Reference530*StandardF530/StandardF615))</f>
        <v>0.910528112679051</v>
      </c>
      <c r="Z13" s="3" t="n">
        <f aca="false">IF(OR(W13="",W13&lt;=0),"",LOG10(1/W13))</f>
        <v>0.337379928545646</v>
      </c>
      <c r="AA13" s="3" t="n">
        <f aca="false">IF(OR(Y13="",Y13&lt;=0),"",LOG10(1/Y13))</f>
        <v>0.0407066407609874</v>
      </c>
      <c r="AB13" s="2" t="n">
        <v>395</v>
      </c>
      <c r="AC13" s="2" t="n">
        <v>638</v>
      </c>
      <c r="AD13" s="3" t="n">
        <f aca="false">IF(OR(AB13="",AC13=""),"",((AB13-Offset700)/(AC13-Offset770))*((Reference770-Offset770)/(Reference700-Offset700)))</f>
        <v>0.721464161060246</v>
      </c>
      <c r="AE13" s="3" t="n">
        <f aca="false">IF(OR(AD13="",AD13&lt;=0),"",-LOG10(AD13))</f>
        <v>0.141785237737993</v>
      </c>
      <c r="AG13" s="6" t="n">
        <f aca="false">IF(AE13="","",CoeffNmolQ*AE13^2+CoeffNmolL*AE13+CoeffNmolC)</f>
        <v>32.8651715834605</v>
      </c>
      <c r="AH13" s="6" t="n">
        <f aca="false">IF(AE13="","",CoeffUgQ*AE13^2+CoeffUgL*AE13+CoeffUgC)</f>
        <v>29.4161548084274</v>
      </c>
      <c r="AI13" s="7" t="n">
        <f aca="false">IF(OR(Z13="",AH13=""),"",AH13/Z13)</f>
        <v>87.1899965573901</v>
      </c>
      <c r="AO13" s="8" t="n">
        <v>356</v>
      </c>
      <c r="AP13" s="8" t="n">
        <v>13</v>
      </c>
      <c r="AT13" s="9" t="str">
        <f aca="false">IF(AS13="","",COS(RADIANS(AS13)) * 100)</f>
        <v/>
      </c>
    </row>
    <row r="14" customFormat="false" ht="15" hidden="false" customHeight="false" outlineLevel="0" collapsed="false">
      <c r="A14" s="4" t="n">
        <v>46147.679849537</v>
      </c>
      <c r="B14" s="5" t="n">
        <v>46147.679849537</v>
      </c>
      <c r="C14" s="0" t="s">
        <v>52</v>
      </c>
      <c r="D14" s="2" t="n">
        <v>10</v>
      </c>
      <c r="E14" s="0" t="s">
        <v>53</v>
      </c>
      <c r="F14" s="2" t="n">
        <v>297</v>
      </c>
      <c r="G14" s="2" t="n">
        <v>1002</v>
      </c>
      <c r="H14" s="2" t="n">
        <f aca="false">IF(F14="","",F14-OffsetFo)</f>
        <v>253</v>
      </c>
      <c r="I14" s="2" t="n">
        <f aca="false">IF(G14="","",G14-OffsetFm)</f>
        <v>958</v>
      </c>
      <c r="J14" s="2" t="n">
        <v>168</v>
      </c>
      <c r="K14" s="2" t="n">
        <v>254</v>
      </c>
      <c r="L14" s="2" t="n">
        <v>715</v>
      </c>
      <c r="M14" s="2" t="n">
        <v>602</v>
      </c>
      <c r="N14" s="2" t="n">
        <v>818</v>
      </c>
      <c r="O14" s="2" t="n">
        <f aca="false">IF(J14="","",J14-Offset310)</f>
        <v>95</v>
      </c>
      <c r="P14" s="2" t="n">
        <f aca="false">IF(K14="","",K14-Offset365)</f>
        <v>209</v>
      </c>
      <c r="Q14" s="2" t="n">
        <f aca="false">IF(L14="","",L14-Offset450)</f>
        <v>691</v>
      </c>
      <c r="R14" s="2" t="n">
        <f aca="false">IF(M14="","",M14-Offset530)</f>
        <v>529</v>
      </c>
      <c r="S14" s="2" t="n">
        <f aca="false">IF(N14="","",N14-Offset615)</f>
        <v>700</v>
      </c>
      <c r="T14" s="3" t="n">
        <f aca="false">IF(OR(H14="",I14="",I14&lt;50,H14&lt;10,I14&lt;H14),"",1-H14/I14)</f>
        <v>0.735908141962422</v>
      </c>
      <c r="V14" s="3" t="n">
        <f aca="false">IF(O14="","",(O14/S14)/(Reference310*StandardF310/StandardF615))</f>
        <v>0.223103873934569</v>
      </c>
      <c r="W14" s="3" t="n">
        <f aca="false">IF(P14="","",(P14/S14)/(Reference365*StandardF365/StandardF615))</f>
        <v>0.248664284625423</v>
      </c>
      <c r="X14" s="3" t="n">
        <f aca="false">IF(Q14="","",(Q14/S14)/(Reference450*StandardF450/StandardF615))</f>
        <v>0.852001695372404</v>
      </c>
      <c r="Y14" s="3" t="n">
        <f aca="false">IF(R14="","",(R14/S14)/(Reference530*StandardF530/StandardF615))</f>
        <v>0.897281229394017</v>
      </c>
      <c r="Z14" s="3" t="n">
        <f aca="false">IF(OR(W14="",W14&lt;=0),"",LOG10(1/W14))</f>
        <v>0.604386587484216</v>
      </c>
      <c r="AA14" s="3" t="n">
        <f aca="false">IF(OR(Y14="",Y14&lt;=0),"",LOG10(1/Y14))</f>
        <v>0.0470714173441571</v>
      </c>
      <c r="AB14" s="2" t="n">
        <v>421</v>
      </c>
      <c r="AC14" s="2" t="n">
        <v>685</v>
      </c>
      <c r="AD14" s="3" t="n">
        <f aca="false">IF(OR(AB14="",AC14=""),"",((AB14-Offset700)/(AC14-Offset770))*((Reference770-Offset770)/(Reference700-Offset700)))</f>
        <v>0.716263213468415</v>
      </c>
      <c r="AE14" s="3" t="n">
        <f aca="false">IF(OR(AD14="",AD14&lt;=0),"",-LOG10(AD14))</f>
        <v>0.144927353180243</v>
      </c>
      <c r="AG14" s="6" t="n">
        <f aca="false">IF(AE14="","",CoeffNmolQ*AE14^2+CoeffNmolL*AE14+CoeffNmolC)</f>
        <v>33.7336924835548</v>
      </c>
      <c r="AH14" s="6" t="n">
        <f aca="false">IF(AE14="","",CoeffUgQ*AE14^2+CoeffUgL*AE14+CoeffUgC)</f>
        <v>30.1935240369415</v>
      </c>
      <c r="AI14" s="7" t="n">
        <f aca="false">IF(OR(Z14="",AH14=""),"",AH14/Z14)</f>
        <v>49.9573032595302</v>
      </c>
      <c r="AO14" s="8" t="n">
        <v>352</v>
      </c>
      <c r="AP14" s="8" t="n">
        <v>29</v>
      </c>
      <c r="AT14" s="9" t="str">
        <f aca="false">IF(AS14="","",COS(RADIANS(AS14)) * 100)</f>
        <v/>
      </c>
    </row>
    <row r="15" customFormat="false" ht="15" hidden="false" customHeight="false" outlineLevel="0" collapsed="false">
      <c r="A15" s="4" t="n">
        <v>46147.6800115741</v>
      </c>
      <c r="B15" s="5" t="n">
        <v>46147.6800115741</v>
      </c>
      <c r="C15" s="0" t="s">
        <v>52</v>
      </c>
      <c r="D15" s="2" t="n">
        <v>11</v>
      </c>
      <c r="E15" s="0" t="s">
        <v>53</v>
      </c>
      <c r="F15" s="2" t="n">
        <v>352</v>
      </c>
      <c r="G15" s="2" t="n">
        <v>1071</v>
      </c>
      <c r="H15" s="2" t="n">
        <f aca="false">IF(F15="","",F15-OffsetFo)</f>
        <v>308</v>
      </c>
      <c r="I15" s="2" t="n">
        <f aca="false">IF(G15="","",G15-OffsetFm)</f>
        <v>1027</v>
      </c>
      <c r="J15" s="2" t="n">
        <v>164</v>
      </c>
      <c r="K15" s="2" t="n">
        <v>281</v>
      </c>
      <c r="L15" s="2" t="n">
        <v>901</v>
      </c>
      <c r="M15" s="2" t="n">
        <v>723</v>
      </c>
      <c r="N15" s="2" t="n">
        <v>973</v>
      </c>
      <c r="O15" s="2" t="n">
        <f aca="false">IF(J15="","",J15-Offset310)</f>
        <v>91</v>
      </c>
      <c r="P15" s="2" t="n">
        <f aca="false">IF(K15="","",K15-Offset365)</f>
        <v>236</v>
      </c>
      <c r="Q15" s="2" t="n">
        <f aca="false">IF(L15="","",L15-Offset450)</f>
        <v>877</v>
      </c>
      <c r="R15" s="2" t="n">
        <f aca="false">IF(M15="","",M15-Offset530)</f>
        <v>650</v>
      </c>
      <c r="S15" s="2" t="n">
        <f aca="false">IF(N15="","",N15-Offset615)</f>
        <v>855</v>
      </c>
      <c r="T15" s="3" t="n">
        <f aca="false">IF(OR(H15="",I15="",I15&lt;50,H15&lt;10,I15&lt;H15),"",1-H15/I15)</f>
        <v>0.700097370983447</v>
      </c>
      <c r="V15" s="3" t="n">
        <f aca="false">IF(O15="","",(O15/S15)/(Reference310*StandardF310/StandardF615))</f>
        <v>0.174967273248779</v>
      </c>
      <c r="W15" s="3" t="n">
        <f aca="false">IF(P15="","",(P15/S15)/(Reference365*StandardF365/StandardF615))</f>
        <v>0.229885222418758</v>
      </c>
      <c r="X15" s="3" t="n">
        <f aca="false">IF(Q15="","",(Q15/S15)/(Reference450*StandardF450/StandardF615))</f>
        <v>0.885307065426188</v>
      </c>
      <c r="Y15" s="3" t="n">
        <f aca="false">IF(R15="","",(R15/S15)/(Reference530*StandardF530/StandardF615))</f>
        <v>0.902647518487442</v>
      </c>
      <c r="Z15" s="3" t="n">
        <f aca="false">IF(OR(W15="",W15&lt;=0),"",LOG10(1/W15))</f>
        <v>0.638488945339079</v>
      </c>
      <c r="AA15" s="3" t="n">
        <f aca="false">IF(OR(Y15="",Y15&lt;=0),"",LOG10(1/Y15))</f>
        <v>0.0444818074504031</v>
      </c>
      <c r="AB15" s="2" t="n">
        <v>446</v>
      </c>
      <c r="AC15" s="2" t="n">
        <v>678</v>
      </c>
      <c r="AD15" s="3" t="n">
        <f aca="false">IF(OR(AB15="",AC15=""),"",((AB15-Offset700)/(AC15-Offset770))*((Reference770-Offset770)/(Reference700-Offset700)))</f>
        <v>0.766859146215715</v>
      </c>
      <c r="AE15" s="3" t="n">
        <f aca="false">IF(OR(AD15="",AD15&lt;=0),"",-LOG10(AD15))</f>
        <v>0.115284398292022</v>
      </c>
      <c r="AG15" s="6" t="n">
        <f aca="false">IF(AE15="","",CoeffNmolQ*AE15^2+CoeffNmolL*AE15+CoeffNmolC)</f>
        <v>25.9836238000598</v>
      </c>
      <c r="AH15" s="6" t="n">
        <f aca="false">IF(AE15="","",CoeffUgQ*AE15^2+CoeffUgL*AE15+CoeffUgC)</f>
        <v>23.2568110976364</v>
      </c>
      <c r="AI15" s="7" t="n">
        <f aca="false">IF(OR(Z15="",AH15=""),"",AH15/Z15)</f>
        <v>36.4247670494679</v>
      </c>
      <c r="AO15" s="8" t="n">
        <v>316</v>
      </c>
      <c r="AP15" s="8" t="n">
        <v>14</v>
      </c>
      <c r="AT15" s="9" t="str">
        <f aca="false">IF(AS15="","",COS(RADIANS(AS15)) * 100)</f>
        <v/>
      </c>
    </row>
    <row r="16" customFormat="false" ht="15" hidden="false" customHeight="false" outlineLevel="0" collapsed="false">
      <c r="A16" s="4" t="n">
        <v>46147.6806944445</v>
      </c>
      <c r="B16" s="5" t="n">
        <v>46147.6806944445</v>
      </c>
      <c r="C16" s="0" t="s">
        <v>52</v>
      </c>
      <c r="D16" s="2" t="n">
        <v>12</v>
      </c>
      <c r="E16" s="0" t="s">
        <v>53</v>
      </c>
      <c r="F16" s="2" t="n">
        <v>326</v>
      </c>
      <c r="G16" s="2" t="n">
        <v>1008</v>
      </c>
      <c r="H16" s="2" t="n">
        <f aca="false">IF(F16="","",F16-OffsetFo)</f>
        <v>282</v>
      </c>
      <c r="I16" s="2" t="n">
        <f aca="false">IF(G16="","",G16-OffsetFm)</f>
        <v>964</v>
      </c>
      <c r="J16" s="2" t="n">
        <v>133</v>
      </c>
      <c r="K16" s="2" t="n">
        <v>199</v>
      </c>
      <c r="L16" s="2" t="n">
        <v>897</v>
      </c>
      <c r="M16" s="2" t="n">
        <v>669</v>
      </c>
      <c r="N16" s="2" t="n">
        <v>950</v>
      </c>
      <c r="O16" s="2" t="n">
        <f aca="false">IF(J16="","",J16-Offset310)</f>
        <v>60</v>
      </c>
      <c r="P16" s="2" t="n">
        <f aca="false">IF(K16="","",K16-Offset365)</f>
        <v>154</v>
      </c>
      <c r="Q16" s="2" t="n">
        <f aca="false">IF(L16="","",L16-Offset450)</f>
        <v>873</v>
      </c>
      <c r="R16" s="2" t="n">
        <f aca="false">IF(M16="","",M16-Offset530)</f>
        <v>596</v>
      </c>
      <c r="S16" s="2" t="n">
        <f aca="false">IF(N16="","",N16-Offset615)</f>
        <v>832</v>
      </c>
      <c r="T16" s="3" t="n">
        <f aca="false">IF(OR(H16="",I16="",I16&lt;50,H16&lt;10,I16&lt;H16),"",1-H16/I16)</f>
        <v>0.70746887966805</v>
      </c>
      <c r="V16" s="3" t="n">
        <f aca="false">IF(O16="","",(O16/S16)/(Reference310*StandardF310/StandardF615))</f>
        <v>0.118552159732438</v>
      </c>
      <c r="W16" s="3" t="n">
        <f aca="false">IF(P16="","",(P16/S16)/(Reference365*StandardF365/StandardF615))</f>
        <v>0.154156755397846</v>
      </c>
      <c r="X16" s="3" t="n">
        <f aca="false">IF(Q16="","",(Q16/S16)/(Reference450*StandardF450/StandardF615))</f>
        <v>0.905631185367632</v>
      </c>
      <c r="Y16" s="3" t="n">
        <f aca="false">IF(R16="","",(R16/S16)/(Reference530*StandardF530/StandardF615))</f>
        <v>0.850538318178312</v>
      </c>
      <c r="Z16" s="3" t="n">
        <f aca="false">IF(OR(W16="",W16&lt;=0),"",LOG10(1/W16))</f>
        <v>0.812037439035274</v>
      </c>
      <c r="AA16" s="3" t="n">
        <f aca="false">IF(OR(Y16="",Y16&lt;=0),"",LOG10(1/Y16))</f>
        <v>0.0703061159155736</v>
      </c>
      <c r="AB16" s="2" t="n">
        <v>430</v>
      </c>
      <c r="AC16" s="2" t="n">
        <v>665</v>
      </c>
      <c r="AD16" s="3" t="n">
        <f aca="false">IF(OR(AB16="",AC16=""),"",((AB16-Offset700)/(AC16-Offset770))*((Reference770-Offset770)/(Reference700-Offset700)))</f>
        <v>0.75371918204279</v>
      </c>
      <c r="AE16" s="3" t="n">
        <f aca="false">IF(OR(AD16="",AD16&lt;=0),"",-LOG10(AD16))</f>
        <v>0.122790431856607</v>
      </c>
      <c r="AG16" s="6" t="n">
        <f aca="false">IF(AE16="","",CoeffNmolQ*AE16^2+CoeffNmolL*AE16+CoeffNmolC)</f>
        <v>27.8522214060387</v>
      </c>
      <c r="AH16" s="6" t="n">
        <f aca="false">IF(AE16="","",CoeffUgQ*AE16^2+CoeffUgL*AE16+CoeffUgC)</f>
        <v>24.9293066788632</v>
      </c>
      <c r="AI16" s="7" t="n">
        <f aca="false">IF(OR(Z16="",AH16=""),"",AH16/Z16)</f>
        <v>30.6997011227463</v>
      </c>
      <c r="AO16" s="8" t="n">
        <v>24</v>
      </c>
      <c r="AP16" s="8" t="n">
        <v>31</v>
      </c>
      <c r="AT16" s="9" t="str">
        <f aca="false">IF(AS16="","",COS(RADIANS(AS16)) * 100)</f>
        <v/>
      </c>
    </row>
    <row r="17" customFormat="false" ht="15" hidden="false" customHeight="false" outlineLevel="0" collapsed="false">
      <c r="A17" s="4" t="n">
        <v>46147.6808796296</v>
      </c>
      <c r="B17" s="5" t="n">
        <v>46147.6808796296</v>
      </c>
      <c r="C17" s="0" t="s">
        <v>52</v>
      </c>
      <c r="D17" s="2" t="n">
        <v>13</v>
      </c>
      <c r="E17" s="0" t="s">
        <v>53</v>
      </c>
      <c r="F17" s="2" t="n">
        <v>381</v>
      </c>
      <c r="G17" s="2" t="n">
        <v>1289</v>
      </c>
      <c r="H17" s="2" t="n">
        <f aca="false">IF(F17="","",F17-OffsetFo)</f>
        <v>337</v>
      </c>
      <c r="I17" s="2" t="n">
        <f aca="false">IF(G17="","",G17-OffsetFm)</f>
        <v>1245</v>
      </c>
      <c r="J17" s="2" t="n">
        <v>181</v>
      </c>
      <c r="K17" s="2" t="n">
        <v>297</v>
      </c>
      <c r="L17" s="2" t="n">
        <v>1005</v>
      </c>
      <c r="M17" s="2" t="n">
        <v>787</v>
      </c>
      <c r="N17" s="2" t="n">
        <v>1058</v>
      </c>
      <c r="O17" s="2" t="n">
        <f aca="false">IF(J17="","",J17-Offset310)</f>
        <v>108</v>
      </c>
      <c r="P17" s="2" t="n">
        <f aca="false">IF(K17="","",K17-Offset365)</f>
        <v>252</v>
      </c>
      <c r="Q17" s="2" t="n">
        <f aca="false">IF(L17="","",L17-Offset450)</f>
        <v>981</v>
      </c>
      <c r="R17" s="2" t="n">
        <f aca="false">IF(M17="","",M17-Offset530)</f>
        <v>714</v>
      </c>
      <c r="S17" s="2" t="n">
        <f aca="false">IF(N17="","",N17-Offset615)</f>
        <v>940</v>
      </c>
      <c r="T17" s="3" t="n">
        <f aca="false">IF(OR(H17="",I17="",I17&lt;50,H17&lt;10,I17&lt;H17),"",1-H17/I17)</f>
        <v>0.729317269076305</v>
      </c>
      <c r="V17" s="3" t="n">
        <f aca="false">IF(O17="","",(O17/S17)/(Reference310*StandardF310/StandardF615))</f>
        <v>0.188876291931169</v>
      </c>
      <c r="W17" s="3" t="n">
        <f aca="false">IF(P17="","",(P17/S17)/(Reference365*StandardF365/StandardF615))</f>
        <v>0.223273846115874</v>
      </c>
      <c r="X17" s="3" t="n">
        <f aca="false">IF(Q17="","",(Q17/S17)/(Reference450*StandardF450/StandardF615))</f>
        <v>0.900744471798857</v>
      </c>
      <c r="Y17" s="3" t="n">
        <f aca="false">IF(R17="","",(R17/S17)/(Reference530*StandardF530/StandardF615))</f>
        <v>0.901864534551602</v>
      </c>
      <c r="Z17" s="3" t="n">
        <f aca="false">IF(OR(W17="",W17&lt;=0),"",LOG10(1/W17))</f>
        <v>0.651162146399168</v>
      </c>
      <c r="AA17" s="3" t="n">
        <f aca="false">IF(OR(Y17="",Y17&lt;=0),"",LOG10(1/Y17))</f>
        <v>0.0448586911886102</v>
      </c>
      <c r="AB17" s="2" t="n">
        <v>380</v>
      </c>
      <c r="AC17" s="2" t="n">
        <v>629</v>
      </c>
      <c r="AD17" s="3" t="n">
        <f aca="false">IF(OR(AB17="",AC17=""),"",((AB17-Offset700)/(AC17-Offset770))*((Reference770-Offset770)/(Reference700-Offset700)))</f>
        <v>0.703888040843029</v>
      </c>
      <c r="AE17" s="3" t="n">
        <f aca="false">IF(OR(AD17="",AD17&lt;=0),"",-LOG10(AD17))</f>
        <v>0.152496413458497</v>
      </c>
      <c r="AG17" s="6" t="n">
        <f aca="false">IF(AE17="","",CoeffNmolQ*AE17^2+CoeffNmolL*AE17+CoeffNmolC)</f>
        <v>35.8716614069911</v>
      </c>
      <c r="AH17" s="6" t="n">
        <f aca="false">IF(AE17="","",CoeffUgQ*AE17^2+CoeffUgL*AE17+CoeffUgC)</f>
        <v>32.1071103171481</v>
      </c>
      <c r="AI17" s="7" t="n">
        <f aca="false">IF(OR(Z17="",AH17=""),"",AH17/Z17)</f>
        <v>49.3073967746678</v>
      </c>
      <c r="AO17" s="8" t="n">
        <v>13</v>
      </c>
      <c r="AP17" s="8" t="n">
        <v>21</v>
      </c>
      <c r="AT17" s="9" t="str">
        <f aca="false">IF(AS17="","",COS(RADIANS(AS17)) * 100)</f>
        <v/>
      </c>
    </row>
    <row r="18" customFormat="false" ht="15" hidden="false" customHeight="false" outlineLevel="0" collapsed="false">
      <c r="A18" s="4" t="n">
        <v>46147.6810763889</v>
      </c>
      <c r="B18" s="5" t="n">
        <v>46147.6810763889</v>
      </c>
      <c r="C18" s="0" t="s">
        <v>52</v>
      </c>
      <c r="D18" s="2" t="n">
        <v>14</v>
      </c>
      <c r="E18" s="0" t="s">
        <v>53</v>
      </c>
      <c r="F18" s="2" t="n">
        <v>347</v>
      </c>
      <c r="G18" s="2" t="n">
        <v>1249</v>
      </c>
      <c r="H18" s="2" t="n">
        <f aca="false">IF(F18="","",F18-OffsetFo)</f>
        <v>303</v>
      </c>
      <c r="I18" s="2" t="n">
        <f aca="false">IF(G18="","",G18-OffsetFm)</f>
        <v>1205</v>
      </c>
      <c r="J18" s="2" t="n">
        <v>183</v>
      </c>
      <c r="K18" s="2" t="n">
        <v>282</v>
      </c>
      <c r="L18" s="2" t="n">
        <v>858</v>
      </c>
      <c r="M18" s="2" t="n">
        <v>711</v>
      </c>
      <c r="N18" s="2" t="n">
        <v>956</v>
      </c>
      <c r="O18" s="2" t="n">
        <f aca="false">IF(J18="","",J18-Offset310)</f>
        <v>110</v>
      </c>
      <c r="P18" s="2" t="n">
        <f aca="false">IF(K18="","",K18-Offset365)</f>
        <v>237</v>
      </c>
      <c r="Q18" s="2" t="n">
        <f aca="false">IF(L18="","",L18-Offset450)</f>
        <v>834</v>
      </c>
      <c r="R18" s="2" t="n">
        <f aca="false">IF(M18="","",M18-Offset530)</f>
        <v>638</v>
      </c>
      <c r="S18" s="2" t="n">
        <f aca="false">IF(N18="","",N18-Offset615)</f>
        <v>838</v>
      </c>
      <c r="T18" s="3" t="n">
        <f aca="false">IF(OR(H18="",I18="",I18&lt;50,H18&lt;10,I18&lt;H18),"",1-H18/I18)</f>
        <v>0.748547717842324</v>
      </c>
      <c r="V18" s="3" t="n">
        <f aca="false">IF(O18="","",(O18/S18)/(Reference310*StandardF310/StandardF615))</f>
        <v>0.215789452241701</v>
      </c>
      <c r="W18" s="3" t="n">
        <f aca="false">IF(P18="","",(P18/S18)/(Reference365*StandardF365/StandardF615))</f>
        <v>0.235542615816639</v>
      </c>
      <c r="X18" s="3" t="n">
        <f aca="false">IF(Q18="","",(Q18/S18)/(Reference450*StandardF450/StandardF615))</f>
        <v>0.858978875619384</v>
      </c>
      <c r="Y18" s="3" t="n">
        <f aca="false">IF(R18="","",(R18/S18)/(Reference530*StandardF530/StandardF615))</f>
        <v>0.903956663961291</v>
      </c>
      <c r="Z18" s="3" t="n">
        <f aca="false">IF(OR(W18="",W18&lt;=0),"",LOG10(1/W18))</f>
        <v>0.627930506201186</v>
      </c>
      <c r="AA18" s="3" t="n">
        <f aca="false">IF(OR(Y18="",Y18&lt;=0),"",LOG10(1/Y18))</f>
        <v>0.0438523892742002</v>
      </c>
      <c r="AB18" s="2" t="n">
        <v>376</v>
      </c>
      <c r="AC18" s="2" t="n">
        <v>643</v>
      </c>
      <c r="AD18" s="3" t="n">
        <f aca="false">IF(OR(AB18="",AC18=""),"",((AB18-Offset700)/(AC18-Offset770))*((Reference770-Offset770)/(Reference700-Offset700)))</f>
        <v>0.681228643247607</v>
      </c>
      <c r="AE18" s="3" t="n">
        <f aca="false">IF(OR(AD18="",AD18&lt;=0),"",-LOG10(AD18))</f>
        <v>0.166707099783343</v>
      </c>
      <c r="AG18" s="6" t="n">
        <f aca="false">IF(AE18="","",CoeffNmolQ*AE18^2+CoeffNmolL*AE18+CoeffNmolC)</f>
        <v>40.0604184288319</v>
      </c>
      <c r="AH18" s="6" t="n">
        <f aca="false">IF(AE18="","",CoeffUgQ*AE18^2+CoeffUgL*AE18+CoeffUgC)</f>
        <v>35.8562450236678</v>
      </c>
      <c r="AI18" s="7" t="n">
        <f aca="false">IF(OR(Z18="",AH18=""),"",AH18/Z18)</f>
        <v>57.1022504394453</v>
      </c>
      <c r="AO18" s="8" t="n">
        <v>11</v>
      </c>
      <c r="AP18" s="8" t="n">
        <v>22</v>
      </c>
      <c r="AT18" s="9" t="str">
        <f aca="false">IF(AS18="","",COS(RADIANS(AS18)) * 100)</f>
        <v/>
      </c>
    </row>
    <row r="19" customFormat="false" ht="15" hidden="false" customHeight="false" outlineLevel="0" collapsed="false">
      <c r="A19" s="4" t="n">
        <v>46147.68125</v>
      </c>
      <c r="B19" s="5" t="n">
        <v>46147.68125</v>
      </c>
      <c r="C19" s="0" t="s">
        <v>52</v>
      </c>
      <c r="D19" s="2" t="n">
        <v>15</v>
      </c>
      <c r="E19" s="0" t="s">
        <v>53</v>
      </c>
      <c r="F19" s="2" t="n">
        <v>345</v>
      </c>
      <c r="G19" s="2" t="n">
        <v>1062</v>
      </c>
      <c r="H19" s="2" t="n">
        <f aca="false">IF(F19="","",F19-OffsetFo)</f>
        <v>301</v>
      </c>
      <c r="I19" s="2" t="n">
        <f aca="false">IF(G19="","",G19-OffsetFm)</f>
        <v>1018</v>
      </c>
      <c r="J19" s="2" t="n">
        <v>169</v>
      </c>
      <c r="K19" s="2" t="n">
        <v>337</v>
      </c>
      <c r="L19" s="2" t="n">
        <v>1002</v>
      </c>
      <c r="M19" s="2" t="n">
        <v>713</v>
      </c>
      <c r="N19" s="2" t="n">
        <v>1013</v>
      </c>
      <c r="O19" s="2" t="n">
        <f aca="false">IF(J19="","",J19-Offset310)</f>
        <v>96</v>
      </c>
      <c r="P19" s="2" t="n">
        <f aca="false">IF(K19="","",K19-Offset365)</f>
        <v>292</v>
      </c>
      <c r="Q19" s="2" t="n">
        <f aca="false">IF(L19="","",L19-Offset450)</f>
        <v>978</v>
      </c>
      <c r="R19" s="2" t="n">
        <f aca="false">IF(M19="","",M19-Offset530)</f>
        <v>640</v>
      </c>
      <c r="S19" s="2" t="n">
        <f aca="false">IF(N19="","",N19-Offset615)</f>
        <v>895</v>
      </c>
      <c r="T19" s="3" t="n">
        <f aca="false">IF(OR(H19="",I19="",I19&lt;50,H19&lt;10,I19&lt;H19),"",1-H19/I19)</f>
        <v>0.704322200392927</v>
      </c>
      <c r="V19" s="3" t="n">
        <f aca="false">IF(O19="","",(O19/S19)/(Reference310*StandardF310/StandardF615))</f>
        <v>0.176331435794214</v>
      </c>
      <c r="W19" s="3" t="n">
        <f aca="false">IF(P19="","",(P19/S19)/(Reference365*StandardF365/StandardF615))</f>
        <v>0.271722112626963</v>
      </c>
      <c r="X19" s="3" t="n">
        <f aca="false">IF(Q19="","",(Q19/S19)/(Reference450*StandardF450/StandardF615))</f>
        <v>0.943140231794174</v>
      </c>
      <c r="Y19" s="3" t="n">
        <f aca="false">IF(R19="","",(R19/S19)/(Reference530*StandardF530/StandardF615))</f>
        <v>0.849039487952434</v>
      </c>
      <c r="Z19" s="3" t="n">
        <f aca="false">IF(OR(W19="",W19&lt;=0),"",LOG10(1/W19))</f>
        <v>0.565875017448507</v>
      </c>
      <c r="AA19" s="3" t="n">
        <f aca="false">IF(OR(Y19="",Y19&lt;=0),"",LOG10(1/Y19))</f>
        <v>0.0710721106971108</v>
      </c>
      <c r="AB19" s="2" t="n">
        <v>430</v>
      </c>
      <c r="AC19" s="2" t="n">
        <v>636</v>
      </c>
      <c r="AD19" s="3" t="n">
        <f aca="false">IF(OR(AB19="",AC19=""),"",((AB19-Offset700)/(AC19-Offset770))*((Reference770-Offset770)/(Reference700-Offset700)))</f>
        <v>0.788195296047902</v>
      </c>
      <c r="AE19" s="3" t="n">
        <f aca="false">IF(OR(AD19="",AD19&lt;=0),"",-LOG10(AD19))</f>
        <v>0.103366161333566</v>
      </c>
      <c r="AG19" s="6" t="n">
        <f aca="false">IF(AE19="","",CoeffNmolQ*AE19^2+CoeffNmolL*AE19+CoeffNmolC)</f>
        <v>23.1473598710631</v>
      </c>
      <c r="AH19" s="6" t="n">
        <f aca="false">IF(AE19="","",CoeffUgQ*AE19^2+CoeffUgL*AE19+CoeffUgC)</f>
        <v>20.7181962505012</v>
      </c>
      <c r="AI19" s="7" t="n">
        <f aca="false">IF(OR(Z19="",AH19=""),"",AH19/Z19)</f>
        <v>36.6126717237283</v>
      </c>
      <c r="AO19" s="8" t="n">
        <v>343</v>
      </c>
      <c r="AP19" s="8" t="n">
        <v>11</v>
      </c>
      <c r="AT19" s="9" t="str">
        <f aca="false">IF(AS19="","",COS(RADIANS(AS19)) * 100)</f>
        <v/>
      </c>
    </row>
    <row r="20" customFormat="false" ht="15" hidden="false" customHeight="false" outlineLevel="0" collapsed="false">
      <c r="A20" s="4" t="n">
        <v>46147.681412037</v>
      </c>
      <c r="B20" s="5" t="n">
        <v>46147.681412037</v>
      </c>
      <c r="C20" s="0" t="s">
        <v>52</v>
      </c>
      <c r="D20" s="2" t="n">
        <v>16</v>
      </c>
      <c r="E20" s="0" t="s">
        <v>53</v>
      </c>
      <c r="F20" s="2" t="n">
        <v>289</v>
      </c>
      <c r="G20" s="2" t="n">
        <v>1052</v>
      </c>
      <c r="H20" s="2" t="n">
        <f aca="false">IF(F20="","",F20-OffsetFo)</f>
        <v>245</v>
      </c>
      <c r="I20" s="2" t="n">
        <f aca="false">IF(G20="","",G20-OffsetFm)</f>
        <v>1008</v>
      </c>
      <c r="J20" s="2" t="n">
        <v>132</v>
      </c>
      <c r="K20" s="2" t="n">
        <v>173</v>
      </c>
      <c r="L20" s="2" t="n">
        <v>739</v>
      </c>
      <c r="M20" s="2" t="n">
        <v>590</v>
      </c>
      <c r="N20" s="2" t="n">
        <v>798</v>
      </c>
      <c r="O20" s="2" t="n">
        <f aca="false">IF(J20="","",J20-Offset310)</f>
        <v>59</v>
      </c>
      <c r="P20" s="2" t="n">
        <f aca="false">IF(K20="","",K20-Offset365)</f>
        <v>128</v>
      </c>
      <c r="Q20" s="2" t="n">
        <f aca="false">IF(L20="","",L20-Offset450)</f>
        <v>715</v>
      </c>
      <c r="R20" s="2" t="n">
        <f aca="false">IF(M20="","",M20-Offset530)</f>
        <v>517</v>
      </c>
      <c r="S20" s="2" t="n">
        <f aca="false">IF(N20="","",N20-Offset615)</f>
        <v>680</v>
      </c>
      <c r="T20" s="3" t="n">
        <f aca="false">IF(OR(H20="",I20="",I20&lt;50,H20&lt;10,I20&lt;H20),"",1-H20/I20)</f>
        <v>0.756944444444444</v>
      </c>
      <c r="V20" s="3" t="n">
        <f aca="false">IF(O20="","",(O20/S20)/(Reference310*StandardF310/StandardF615))</f>
        <v>0.142634520023184</v>
      </c>
      <c r="W20" s="3" t="n">
        <f aca="false">IF(P20="","",(P20/S20)/(Reference365*StandardF365/StandardF615))</f>
        <v>0.156771178598635</v>
      </c>
      <c r="X20" s="3" t="n">
        <f aca="false">IF(Q20="","",(Q20/S20)/(Reference450*StandardF450/StandardF615))</f>
        <v>0.90752287506148</v>
      </c>
      <c r="Y20" s="3" t="n">
        <f aca="false">IF(R20="","",(R20/S20)/(Reference530*StandardF530/StandardF615))</f>
        <v>0.902718995100897</v>
      </c>
      <c r="Z20" s="3" t="n">
        <f aca="false">IF(OR(W20="",W20&lt;=0),"",LOG10(1/W20))</f>
        <v>0.804733776639381</v>
      </c>
      <c r="AA20" s="3" t="n">
        <f aca="false">IF(OR(Y20="",Y20&lt;=0),"",LOG10(1/Y20))</f>
        <v>0.0444474189773799</v>
      </c>
      <c r="AB20" s="2" t="n">
        <v>408</v>
      </c>
      <c r="AC20" s="2" t="n">
        <v>670</v>
      </c>
      <c r="AD20" s="3" t="n">
        <f aca="false">IF(OR(AB20="",AC20=""),"",((AB20-Offset700)/(AC20-Offset770))*((Reference770-Offset770)/(Reference700-Offset700)))</f>
        <v>0.709624985953027</v>
      </c>
      <c r="AE20" s="3" t="n">
        <f aca="false">IF(OR(AD20="",AD20&lt;=0),"",-LOG10(AD20))</f>
        <v>0.148971101363357</v>
      </c>
      <c r="AG20" s="6" t="n">
        <f aca="false">IF(AE20="","",CoeffNmolQ*AE20^2+CoeffNmolL*AE20+CoeffNmolC)</f>
        <v>34.8678457392533</v>
      </c>
      <c r="AH20" s="6" t="n">
        <f aca="false">IF(AE20="","",CoeffUgQ*AE20^2+CoeffUgL*AE20+CoeffUgC)</f>
        <v>31.2086467324612</v>
      </c>
      <c r="AI20" s="7" t="n">
        <f aca="false">IF(OR(Z20="",AH20=""),"",AH20/Z20)</f>
        <v>38.7813307188254</v>
      </c>
      <c r="AO20" s="8" t="n">
        <v>342</v>
      </c>
      <c r="AP20" s="8" t="n">
        <v>11</v>
      </c>
      <c r="AT20" s="9" t="str">
        <f aca="false">IF(AS20="","",COS(RADIANS(AS20)) * 100)</f>
        <v/>
      </c>
    </row>
    <row r="21" customFormat="false" ht="15" hidden="false" customHeight="false" outlineLevel="0" collapsed="false">
      <c r="A21" s="4" t="n">
        <v>46147.6816435185</v>
      </c>
      <c r="B21" s="5" t="n">
        <v>46147.6816435185</v>
      </c>
      <c r="C21" s="0" t="s">
        <v>52</v>
      </c>
      <c r="D21" s="2" t="n">
        <v>17</v>
      </c>
      <c r="E21" s="0" t="s">
        <v>53</v>
      </c>
      <c r="F21" s="2" t="n">
        <v>327</v>
      </c>
      <c r="G21" s="2" t="n">
        <v>1318</v>
      </c>
      <c r="H21" s="2" t="n">
        <f aca="false">IF(F21="","",F21-OffsetFo)</f>
        <v>283</v>
      </c>
      <c r="I21" s="2" t="n">
        <f aca="false">IF(G21="","",G21-OffsetFm)</f>
        <v>1274</v>
      </c>
      <c r="J21" s="2" t="n">
        <v>167</v>
      </c>
      <c r="K21" s="2" t="n">
        <v>264</v>
      </c>
      <c r="L21" s="2" t="n">
        <v>797</v>
      </c>
      <c r="M21" s="2" t="n">
        <v>671</v>
      </c>
      <c r="N21" s="2" t="n">
        <v>870</v>
      </c>
      <c r="O21" s="2" t="n">
        <f aca="false">IF(J21="","",J21-Offset310)</f>
        <v>94</v>
      </c>
      <c r="P21" s="2" t="n">
        <f aca="false">IF(K21="","",K21-Offset365)</f>
        <v>219</v>
      </c>
      <c r="Q21" s="2" t="n">
        <f aca="false">IF(L21="","",L21-Offset450)</f>
        <v>773</v>
      </c>
      <c r="R21" s="2" t="n">
        <f aca="false">IF(M21="","",M21-Offset530)</f>
        <v>598</v>
      </c>
      <c r="S21" s="2" t="n">
        <f aca="false">IF(N21="","",N21-Offset615)</f>
        <v>752</v>
      </c>
      <c r="T21" s="3" t="n">
        <f aca="false">IF(OR(H21="",I21="",I21&lt;50,H21&lt;10,I21&lt;H21),"",1-H21/I21)</f>
        <v>0.777864992150706</v>
      </c>
      <c r="V21" s="3" t="n">
        <f aca="false">IF(O21="","",(O21/S21)/(Reference310*StandardF310/StandardF615))</f>
        <v>0.205490410202892</v>
      </c>
      <c r="W21" s="3" t="n">
        <f aca="false">IF(P21="","",(P21/S21)/(Reference365*StandardF365/StandardF615))</f>
        <v>0.242544505453256</v>
      </c>
      <c r="X21" s="3" t="n">
        <f aca="false">IF(Q21="","",(Q21/S21)/(Reference450*StandardF450/StandardF615))</f>
        <v>0.887201168068956</v>
      </c>
      <c r="Y21" s="3" t="n">
        <f aca="false">IF(R21="","",(R21/S21)/(Reference530*StandardF530/StandardF615))</f>
        <v>0.94417890697104</v>
      </c>
      <c r="Z21" s="3" t="n">
        <f aca="false">IF(OR(W21="",W21&lt;=0),"",LOG10(1/W21))</f>
        <v>0.615208559332537</v>
      </c>
      <c r="AA21" s="3" t="n">
        <f aca="false">IF(OR(Y21="",Y21&lt;=0),"",LOG10(1/Y21))</f>
        <v>0.0249457059683174</v>
      </c>
      <c r="AB21" s="2" t="n">
        <v>308</v>
      </c>
      <c r="AC21" s="2" t="n">
        <v>607</v>
      </c>
      <c r="AD21" s="3" t="n">
        <f aca="false">IF(OR(AB21="",AC21=""),"",((AB21-Offset700)/(AC21-Offset770))*((Reference770-Offset770)/(Reference700-Offset700)))</f>
        <v>0.590534642057918</v>
      </c>
      <c r="AE21" s="3" t="n">
        <f aca="false">IF(OR(AD21="",AD21&lt;=0),"",-LOG10(AD21))</f>
        <v>0.228754620635894</v>
      </c>
      <c r="AG21" s="6" t="n">
        <f aca="false">IF(AE21="","",CoeffNmolQ*AE21^2+CoeffNmolL*AE21+CoeffNmolC)</f>
        <v>61.0216591760647</v>
      </c>
      <c r="AH21" s="6" t="n">
        <f aca="false">IF(AE21="","",CoeffUgQ*AE21^2+CoeffUgL*AE21+CoeffUgC)</f>
        <v>54.6174429826683</v>
      </c>
      <c r="AI21" s="7" t="n">
        <f aca="false">IF(OR(Z21="",AH21=""),"",AH21/Z21)</f>
        <v>88.7787436538998</v>
      </c>
      <c r="AO21" s="8" t="n">
        <v>254</v>
      </c>
      <c r="AP21" s="8" t="n">
        <v>6</v>
      </c>
      <c r="AT21" s="9" t="str">
        <f aca="false">IF(AS21="","",COS(RADIANS(AS21)) * 100)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0" t="n">
        <v>0</v>
      </c>
      <c r="E1" s="10" t="n">
        <v>50</v>
      </c>
      <c r="F1" s="10" t="n">
        <v>100</v>
      </c>
      <c r="G1" s="10" t="n">
        <v>150</v>
      </c>
      <c r="H1" s="10" t="n">
        <v>200</v>
      </c>
      <c r="I1" s="10" t="n">
        <v>250</v>
      </c>
      <c r="J1" s="10" t="n">
        <v>300</v>
      </c>
      <c r="K1" s="10" t="n">
        <v>350</v>
      </c>
      <c r="L1" s="10" t="n">
        <v>400</v>
      </c>
      <c r="M1" s="10" t="n">
        <v>450</v>
      </c>
      <c r="N1" s="10" t="n">
        <v>500</v>
      </c>
      <c r="O1" s="10" t="n">
        <v>550</v>
      </c>
      <c r="P1" s="10" t="n">
        <v>600</v>
      </c>
      <c r="Q1" s="10" t="n">
        <v>650</v>
      </c>
      <c r="R1" s="10" t="n">
        <v>700</v>
      </c>
      <c r="S1" s="10" t="n">
        <v>750</v>
      </c>
      <c r="T1" s="10" t="n">
        <v>800</v>
      </c>
      <c r="U1" s="10" t="n">
        <v>850</v>
      </c>
      <c r="V1" s="10" t="n">
        <v>900</v>
      </c>
      <c r="W1" s="10" t="n">
        <v>950</v>
      </c>
      <c r="X1" s="10" t="n">
        <v>1000</v>
      </c>
      <c r="Y1" s="10" t="n">
        <v>1050</v>
      </c>
      <c r="Z1" s="10" t="n">
        <v>1100</v>
      </c>
      <c r="AA1" s="10" t="n">
        <v>1150</v>
      </c>
      <c r="AB1" s="10" t="n">
        <v>1200</v>
      </c>
      <c r="AC1" s="10" t="n">
        <v>1250</v>
      </c>
      <c r="AD1" s="10" t="n">
        <v>1300</v>
      </c>
      <c r="AE1" s="10" t="n">
        <v>1350</v>
      </c>
      <c r="AF1" s="10" t="n">
        <v>1400</v>
      </c>
      <c r="AG1" s="10" t="n">
        <v>1450</v>
      </c>
      <c r="AH1" s="10" t="n">
        <v>1500</v>
      </c>
      <c r="AI1" s="10" t="n">
        <v>1550</v>
      </c>
      <c r="AJ1" s="10" t="n">
        <v>1600</v>
      </c>
      <c r="AK1" s="10" t="n">
        <v>1650</v>
      </c>
      <c r="AL1" s="10" t="n">
        <v>1700</v>
      </c>
      <c r="AM1" s="10" t="n">
        <v>1750</v>
      </c>
      <c r="AN1" s="10" t="n">
        <v>1800</v>
      </c>
      <c r="AO1" s="10" t="n">
        <v>1850</v>
      </c>
      <c r="AP1" s="10" t="n">
        <v>1900</v>
      </c>
      <c r="AQ1" s="10" t="n">
        <v>1950</v>
      </c>
      <c r="AR1" s="10" t="n">
        <v>2000</v>
      </c>
      <c r="AS1" s="10" t="n">
        <v>2050</v>
      </c>
      <c r="AT1" s="10" t="n">
        <v>2100</v>
      </c>
      <c r="AU1" s="10" t="n">
        <v>2150</v>
      </c>
      <c r="AV1" s="10" t="n">
        <v>2200</v>
      </c>
      <c r="AW1" s="10" t="n">
        <v>2250</v>
      </c>
      <c r="AX1" s="10" t="n">
        <v>2300</v>
      </c>
      <c r="AY1" s="10" t="n">
        <v>2350</v>
      </c>
      <c r="AZ1" s="10" t="n">
        <v>2400</v>
      </c>
      <c r="BA1" s="10" t="n">
        <v>2450</v>
      </c>
    </row>
    <row r="5" customFormat="false" ht="15" hidden="false" customHeight="false" outlineLevel="0" collapsed="false">
      <c r="A5" s="4" t="n">
        <v>46147.6778009259</v>
      </c>
      <c r="B5" s="5" t="n">
        <v>46147.6778009259</v>
      </c>
      <c r="D5" s="2" t="n">
        <v>295</v>
      </c>
      <c r="E5" s="2" t="n">
        <v>295</v>
      </c>
      <c r="F5" s="2" t="n">
        <v>295</v>
      </c>
      <c r="G5" s="2" t="n">
        <v>295</v>
      </c>
      <c r="H5" s="2" t="n">
        <v>661</v>
      </c>
      <c r="I5" s="2" t="n">
        <v>903</v>
      </c>
      <c r="J5" s="2" t="n">
        <v>1033</v>
      </c>
      <c r="K5" s="2" t="n">
        <v>1065</v>
      </c>
      <c r="L5" s="2" t="n">
        <v>1070</v>
      </c>
      <c r="M5" s="2" t="n">
        <v>1073</v>
      </c>
      <c r="N5" s="2" t="n">
        <v>1074</v>
      </c>
      <c r="O5" s="2" t="n">
        <v>1076</v>
      </c>
      <c r="P5" s="2" t="n">
        <v>1074</v>
      </c>
      <c r="Q5" s="2" t="n">
        <v>1072</v>
      </c>
      <c r="R5" s="2" t="n">
        <v>1077</v>
      </c>
      <c r="S5" s="2" t="n">
        <v>1074</v>
      </c>
      <c r="T5" s="2" t="n">
        <v>840</v>
      </c>
      <c r="U5" s="2" t="n">
        <v>676</v>
      </c>
      <c r="V5" s="2" t="n">
        <v>642</v>
      </c>
      <c r="W5" s="2" t="n">
        <v>626</v>
      </c>
      <c r="X5" s="2" t="n">
        <v>612</v>
      </c>
      <c r="Y5" s="2" t="n">
        <v>606</v>
      </c>
      <c r="Z5" s="2" t="n">
        <v>604</v>
      </c>
      <c r="AA5" s="2" t="n">
        <v>586</v>
      </c>
      <c r="AB5" s="2" t="n">
        <v>576</v>
      </c>
      <c r="AC5" s="2" t="n">
        <v>570</v>
      </c>
      <c r="AD5" s="2" t="n">
        <v>572</v>
      </c>
      <c r="AE5" s="2" t="n">
        <v>568</v>
      </c>
      <c r="AF5" s="2" t="n">
        <v>559</v>
      </c>
      <c r="AG5" s="2" t="n">
        <v>551</v>
      </c>
      <c r="AH5" s="2" t="n">
        <v>548</v>
      </c>
      <c r="AI5" s="2" t="n">
        <v>540</v>
      </c>
      <c r="AJ5" s="2" t="n">
        <v>535</v>
      </c>
      <c r="AK5" s="2" t="n">
        <v>531</v>
      </c>
      <c r="AL5" s="2" t="n">
        <v>530</v>
      </c>
      <c r="AM5" s="2" t="n">
        <v>530</v>
      </c>
      <c r="AN5" s="2" t="n">
        <v>522</v>
      </c>
      <c r="AO5" s="2" t="n">
        <v>518</v>
      </c>
      <c r="AP5" s="2" t="n">
        <v>518</v>
      </c>
      <c r="AQ5" s="2" t="n">
        <v>506</v>
      </c>
      <c r="AR5" s="2" t="n">
        <v>508</v>
      </c>
      <c r="AS5" s="2" t="n">
        <v>506</v>
      </c>
      <c r="AT5" s="2" t="n">
        <v>500</v>
      </c>
      <c r="AU5" s="2" t="n">
        <v>506</v>
      </c>
      <c r="AV5" s="2" t="n">
        <v>500</v>
      </c>
      <c r="AW5" s="2" t="n">
        <v>494</v>
      </c>
      <c r="AX5" s="2" t="n">
        <v>492</v>
      </c>
      <c r="AY5" s="2" t="n">
        <v>494</v>
      </c>
      <c r="AZ5" s="2" t="n">
        <v>492</v>
      </c>
      <c r="BA5" s="2" t="n">
        <v>489</v>
      </c>
    </row>
    <row r="6" customFormat="false" ht="15" hidden="false" customHeight="false" outlineLevel="0" collapsed="false">
      <c r="A6" s="4" t="n">
        <v>46147.6779861111</v>
      </c>
      <c r="B6" s="5" t="n">
        <v>46147.6779861111</v>
      </c>
      <c r="D6" s="2" t="n">
        <v>410</v>
      </c>
      <c r="E6" s="2" t="n">
        <v>410</v>
      </c>
      <c r="F6" s="2" t="n">
        <v>410</v>
      </c>
      <c r="G6" s="2" t="n">
        <v>410</v>
      </c>
      <c r="H6" s="2" t="n">
        <v>703</v>
      </c>
      <c r="I6" s="2" t="n">
        <v>912</v>
      </c>
      <c r="J6" s="2" t="n">
        <v>1045</v>
      </c>
      <c r="K6" s="2" t="n">
        <v>1070</v>
      </c>
      <c r="L6" s="2" t="n">
        <v>1073</v>
      </c>
      <c r="M6" s="2" t="n">
        <v>1075</v>
      </c>
      <c r="N6" s="2" t="n">
        <v>1074</v>
      </c>
      <c r="O6" s="2" t="n">
        <v>1074</v>
      </c>
      <c r="P6" s="2" t="n">
        <v>1073</v>
      </c>
      <c r="Q6" s="2" t="n">
        <v>1074</v>
      </c>
      <c r="R6" s="2" t="n">
        <v>1076</v>
      </c>
      <c r="S6" s="2" t="n">
        <v>1077</v>
      </c>
      <c r="T6" s="2" t="n">
        <v>880</v>
      </c>
      <c r="U6" s="2" t="n">
        <v>769</v>
      </c>
      <c r="V6" s="2" t="n">
        <v>752</v>
      </c>
      <c r="W6" s="2" t="n">
        <v>739</v>
      </c>
      <c r="X6" s="2" t="n">
        <v>740</v>
      </c>
      <c r="Y6" s="2" t="n">
        <v>734</v>
      </c>
      <c r="Z6" s="2" t="n">
        <v>724</v>
      </c>
      <c r="AA6" s="2" t="n">
        <v>725</v>
      </c>
      <c r="AB6" s="2" t="n">
        <v>724</v>
      </c>
      <c r="AC6" s="2" t="n">
        <v>712</v>
      </c>
      <c r="AD6" s="2" t="n">
        <v>710</v>
      </c>
      <c r="AE6" s="2" t="n">
        <v>712</v>
      </c>
      <c r="AF6" s="2" t="n">
        <v>712</v>
      </c>
      <c r="AG6" s="2" t="n">
        <v>704</v>
      </c>
      <c r="AH6" s="2" t="n">
        <v>702</v>
      </c>
      <c r="AI6" s="2" t="n">
        <v>704</v>
      </c>
      <c r="AJ6" s="2" t="n">
        <v>702</v>
      </c>
      <c r="AK6" s="2" t="n">
        <v>688</v>
      </c>
      <c r="AL6" s="2" t="n">
        <v>684</v>
      </c>
      <c r="AM6" s="2" t="n">
        <v>682</v>
      </c>
      <c r="AN6" s="2" t="n">
        <v>683</v>
      </c>
      <c r="AO6" s="2" t="n">
        <v>688</v>
      </c>
      <c r="AP6" s="2" t="n">
        <v>683</v>
      </c>
      <c r="AQ6" s="2" t="n">
        <v>679</v>
      </c>
      <c r="AR6" s="2" t="n">
        <v>677</v>
      </c>
      <c r="AS6" s="2" t="n">
        <v>674</v>
      </c>
      <c r="AT6" s="2" t="n">
        <v>667</v>
      </c>
      <c r="AU6" s="2" t="n">
        <v>668</v>
      </c>
      <c r="AV6" s="2" t="n">
        <v>668</v>
      </c>
      <c r="AW6" s="2" t="n">
        <v>664</v>
      </c>
      <c r="AX6" s="2" t="n">
        <v>660</v>
      </c>
      <c r="AY6" s="2" t="n">
        <v>663</v>
      </c>
      <c r="AZ6" s="2" t="n">
        <v>664</v>
      </c>
      <c r="BA6" s="2" t="n">
        <v>656</v>
      </c>
    </row>
    <row r="7" customFormat="false" ht="15" hidden="false" customHeight="false" outlineLevel="0" collapsed="false">
      <c r="A7" s="4" t="n">
        <v>46147.6783796296</v>
      </c>
      <c r="B7" s="5" t="n">
        <v>46147.6783796296</v>
      </c>
      <c r="D7" s="2" t="n">
        <v>278</v>
      </c>
      <c r="E7" s="2" t="n">
        <v>278</v>
      </c>
      <c r="F7" s="2" t="n">
        <v>278</v>
      </c>
      <c r="G7" s="2" t="n">
        <v>278</v>
      </c>
      <c r="H7" s="2" t="n">
        <v>685</v>
      </c>
      <c r="I7" s="2" t="n">
        <v>969</v>
      </c>
      <c r="J7" s="2" t="n">
        <v>1111</v>
      </c>
      <c r="K7" s="2" t="n">
        <v>1151</v>
      </c>
      <c r="L7" s="2" t="n">
        <v>1158</v>
      </c>
      <c r="M7" s="2" t="n">
        <v>1166</v>
      </c>
      <c r="N7" s="2" t="n">
        <v>1167</v>
      </c>
      <c r="O7" s="2" t="n">
        <v>1169</v>
      </c>
      <c r="P7" s="2" t="n">
        <v>1172</v>
      </c>
      <c r="Q7" s="2" t="n">
        <v>1164</v>
      </c>
      <c r="R7" s="2" t="n">
        <v>1172</v>
      </c>
      <c r="S7" s="2" t="n">
        <v>1169</v>
      </c>
      <c r="T7" s="2" t="n">
        <v>920</v>
      </c>
      <c r="U7" s="2" t="n">
        <v>762</v>
      </c>
      <c r="V7" s="2" t="n">
        <v>713</v>
      </c>
      <c r="W7" s="2" t="n">
        <v>692</v>
      </c>
      <c r="X7" s="2" t="n">
        <v>676</v>
      </c>
      <c r="Y7" s="2" t="n">
        <v>660</v>
      </c>
      <c r="Z7" s="2" t="n">
        <v>648</v>
      </c>
      <c r="AA7" s="2" t="n">
        <v>634</v>
      </c>
      <c r="AB7" s="2" t="n">
        <v>621</v>
      </c>
      <c r="AC7" s="2" t="n">
        <v>613</v>
      </c>
      <c r="AD7" s="2" t="n">
        <v>607</v>
      </c>
      <c r="AE7" s="2" t="n">
        <v>596</v>
      </c>
      <c r="AF7" s="2" t="n">
        <v>596</v>
      </c>
      <c r="AG7" s="2" t="n">
        <v>591</v>
      </c>
      <c r="AH7" s="2" t="n">
        <v>586</v>
      </c>
      <c r="AI7" s="2" t="n">
        <v>580</v>
      </c>
      <c r="AJ7" s="2" t="n">
        <v>573</v>
      </c>
      <c r="AK7" s="2" t="n">
        <v>569</v>
      </c>
      <c r="AL7" s="2" t="n">
        <v>566</v>
      </c>
      <c r="AM7" s="2" t="n">
        <v>562</v>
      </c>
      <c r="AN7" s="2" t="n">
        <v>555</v>
      </c>
      <c r="AO7" s="2" t="n">
        <v>549</v>
      </c>
      <c r="AP7" s="2" t="n">
        <v>548</v>
      </c>
      <c r="AQ7" s="2" t="n">
        <v>558</v>
      </c>
      <c r="AR7" s="2" t="n">
        <v>550</v>
      </c>
      <c r="AS7" s="2" t="n">
        <v>542</v>
      </c>
      <c r="AT7" s="2" t="n">
        <v>537</v>
      </c>
      <c r="AU7" s="2" t="n">
        <v>534</v>
      </c>
      <c r="AV7" s="2" t="n">
        <v>535</v>
      </c>
      <c r="AW7" s="2" t="n">
        <v>526</v>
      </c>
      <c r="AX7" s="2" t="n">
        <v>519</v>
      </c>
      <c r="AY7" s="2" t="n">
        <v>516</v>
      </c>
      <c r="AZ7" s="2" t="n">
        <v>520</v>
      </c>
      <c r="BA7" s="2" t="n">
        <v>520</v>
      </c>
    </row>
    <row r="8" customFormat="false" ht="15" hidden="false" customHeight="false" outlineLevel="0" collapsed="false">
      <c r="A8" s="4" t="n">
        <v>46147.6785648148</v>
      </c>
      <c r="B8" s="5" t="n">
        <v>46147.6785648148</v>
      </c>
      <c r="D8" s="2" t="n">
        <v>328</v>
      </c>
      <c r="E8" s="2" t="n">
        <v>328</v>
      </c>
      <c r="F8" s="2" t="n">
        <v>328</v>
      </c>
      <c r="G8" s="2" t="n">
        <v>328</v>
      </c>
      <c r="H8" s="2" t="n">
        <v>788</v>
      </c>
      <c r="I8" s="2" t="n">
        <v>1072</v>
      </c>
      <c r="J8" s="2" t="n">
        <v>1229</v>
      </c>
      <c r="K8" s="2" t="n">
        <v>1258</v>
      </c>
      <c r="L8" s="2" t="n">
        <v>1266</v>
      </c>
      <c r="M8" s="2" t="n">
        <v>1268</v>
      </c>
      <c r="N8" s="2" t="n">
        <v>1270</v>
      </c>
      <c r="O8" s="2" t="n">
        <v>1272</v>
      </c>
      <c r="P8" s="2" t="n">
        <v>1270</v>
      </c>
      <c r="Q8" s="2" t="n">
        <v>1269</v>
      </c>
      <c r="R8" s="2" t="n">
        <v>1266</v>
      </c>
      <c r="S8" s="2" t="n">
        <v>1266</v>
      </c>
      <c r="T8" s="2" t="n">
        <v>1004</v>
      </c>
      <c r="U8" s="2" t="n">
        <v>825</v>
      </c>
      <c r="V8" s="2" t="n">
        <v>785</v>
      </c>
      <c r="W8" s="2" t="n">
        <v>762</v>
      </c>
      <c r="X8" s="2" t="n">
        <v>746</v>
      </c>
      <c r="Y8" s="2" t="n">
        <v>738</v>
      </c>
      <c r="Z8" s="2" t="n">
        <v>726</v>
      </c>
      <c r="AA8" s="2" t="n">
        <v>720</v>
      </c>
      <c r="AB8" s="2" t="n">
        <v>702</v>
      </c>
      <c r="AC8" s="2" t="n">
        <v>690</v>
      </c>
      <c r="AD8" s="2" t="n">
        <v>690</v>
      </c>
      <c r="AE8" s="2" t="n">
        <v>680</v>
      </c>
      <c r="AF8" s="2" t="n">
        <v>674</v>
      </c>
      <c r="AG8" s="2" t="n">
        <v>668</v>
      </c>
      <c r="AH8" s="2" t="n">
        <v>660</v>
      </c>
      <c r="AI8" s="2" t="n">
        <v>654</v>
      </c>
      <c r="AJ8" s="2" t="n">
        <v>649</v>
      </c>
      <c r="AK8" s="2" t="n">
        <v>643</v>
      </c>
      <c r="AL8" s="2" t="n">
        <v>632</v>
      </c>
      <c r="AM8" s="2" t="n">
        <v>628</v>
      </c>
      <c r="AN8" s="2" t="n">
        <v>637</v>
      </c>
      <c r="AO8" s="2" t="n">
        <v>641</v>
      </c>
      <c r="AP8" s="2" t="n">
        <v>630</v>
      </c>
      <c r="AQ8" s="2" t="n">
        <v>628</v>
      </c>
      <c r="AR8" s="2" t="n">
        <v>613</v>
      </c>
      <c r="AS8" s="2" t="n">
        <v>604</v>
      </c>
      <c r="AT8" s="2" t="n">
        <v>608</v>
      </c>
      <c r="AU8" s="2" t="n">
        <v>612</v>
      </c>
      <c r="AV8" s="2" t="n">
        <v>602</v>
      </c>
      <c r="AW8" s="2" t="n">
        <v>596</v>
      </c>
      <c r="AX8" s="2" t="n">
        <v>598</v>
      </c>
      <c r="AY8" s="2" t="n">
        <v>596</v>
      </c>
      <c r="AZ8" s="2" t="n">
        <v>587</v>
      </c>
      <c r="BA8" s="2" t="n">
        <v>583</v>
      </c>
    </row>
    <row r="9" customFormat="false" ht="15" hidden="false" customHeight="false" outlineLevel="0" collapsed="false">
      <c r="A9" s="4" t="n">
        <v>46147.6786921296</v>
      </c>
      <c r="B9" s="5" t="n">
        <v>46147.6786921296</v>
      </c>
      <c r="D9" s="2" t="n">
        <v>252</v>
      </c>
      <c r="E9" s="2" t="n">
        <v>252</v>
      </c>
      <c r="F9" s="2" t="n">
        <v>252</v>
      </c>
      <c r="G9" s="2" t="n">
        <v>252</v>
      </c>
      <c r="H9" s="2" t="n">
        <v>611</v>
      </c>
      <c r="I9" s="2" t="n">
        <v>917</v>
      </c>
      <c r="J9" s="2" t="n">
        <v>1040</v>
      </c>
      <c r="K9" s="2" t="n">
        <v>1072</v>
      </c>
      <c r="L9" s="2" t="n">
        <v>1080</v>
      </c>
      <c r="M9" s="2" t="n">
        <v>1084</v>
      </c>
      <c r="N9" s="2" t="n">
        <v>1085</v>
      </c>
      <c r="O9" s="2" t="n">
        <v>1085</v>
      </c>
      <c r="P9" s="2" t="n">
        <v>1087</v>
      </c>
      <c r="Q9" s="2" t="n">
        <v>1081</v>
      </c>
      <c r="R9" s="2" t="n">
        <v>1079</v>
      </c>
      <c r="S9" s="2" t="n">
        <v>1080</v>
      </c>
      <c r="T9" s="2" t="n">
        <v>854</v>
      </c>
      <c r="U9" s="2" t="n">
        <v>697</v>
      </c>
      <c r="V9" s="2" t="n">
        <v>656</v>
      </c>
      <c r="W9" s="2" t="n">
        <v>637</v>
      </c>
      <c r="X9" s="2" t="n">
        <v>625</v>
      </c>
      <c r="Y9" s="2" t="n">
        <v>613</v>
      </c>
      <c r="Z9" s="2" t="n">
        <v>598</v>
      </c>
      <c r="AA9" s="2" t="n">
        <v>580</v>
      </c>
      <c r="AB9" s="2" t="n">
        <v>570</v>
      </c>
      <c r="AC9" s="2" t="n">
        <v>566</v>
      </c>
      <c r="AD9" s="2" t="n">
        <v>564</v>
      </c>
      <c r="AE9" s="2" t="n">
        <v>554</v>
      </c>
      <c r="AF9" s="2" t="n">
        <v>538</v>
      </c>
      <c r="AG9" s="2" t="n">
        <v>536</v>
      </c>
      <c r="AH9" s="2" t="n">
        <v>540</v>
      </c>
      <c r="AI9" s="2" t="n">
        <v>524</v>
      </c>
      <c r="AJ9" s="2" t="n">
        <v>525</v>
      </c>
      <c r="AK9" s="2" t="n">
        <v>521</v>
      </c>
      <c r="AL9" s="2" t="n">
        <v>514</v>
      </c>
      <c r="AM9" s="2" t="n">
        <v>508</v>
      </c>
      <c r="AN9" s="2" t="n">
        <v>511</v>
      </c>
      <c r="AO9" s="2" t="n">
        <v>508</v>
      </c>
      <c r="AP9" s="2" t="n">
        <v>502</v>
      </c>
      <c r="AQ9" s="2" t="n">
        <v>498</v>
      </c>
      <c r="AR9" s="2" t="n">
        <v>488</v>
      </c>
      <c r="AS9" s="2" t="n">
        <v>488</v>
      </c>
      <c r="AT9" s="2" t="n">
        <v>492</v>
      </c>
      <c r="AU9" s="2" t="n">
        <v>484</v>
      </c>
      <c r="AV9" s="2" t="n">
        <v>477</v>
      </c>
      <c r="AW9" s="2" t="n">
        <v>478</v>
      </c>
      <c r="AX9" s="2" t="n">
        <v>482</v>
      </c>
      <c r="AY9" s="2" t="n">
        <v>484</v>
      </c>
      <c r="AZ9" s="2" t="n">
        <v>479</v>
      </c>
      <c r="BA9" s="2" t="n">
        <v>474</v>
      </c>
    </row>
    <row r="10" customFormat="false" ht="15" hidden="false" customHeight="false" outlineLevel="0" collapsed="false">
      <c r="A10" s="4" t="n">
        <v>46147.6790625</v>
      </c>
      <c r="B10" s="5" t="n">
        <v>46147.6790625</v>
      </c>
      <c r="D10" s="2" t="n">
        <v>239</v>
      </c>
      <c r="E10" s="2" t="n">
        <v>239</v>
      </c>
      <c r="F10" s="2" t="n">
        <v>239</v>
      </c>
      <c r="G10" s="2" t="n">
        <v>239</v>
      </c>
      <c r="H10" s="2" t="n">
        <v>558</v>
      </c>
      <c r="I10" s="2" t="n">
        <v>816</v>
      </c>
      <c r="J10" s="2" t="n">
        <v>961</v>
      </c>
      <c r="K10" s="2" t="n">
        <v>996</v>
      </c>
      <c r="L10" s="2" t="n">
        <v>1002</v>
      </c>
      <c r="M10" s="2" t="n">
        <v>1003</v>
      </c>
      <c r="N10" s="2" t="n">
        <v>1002</v>
      </c>
      <c r="O10" s="2" t="n">
        <v>1000</v>
      </c>
      <c r="P10" s="2" t="n">
        <v>1000</v>
      </c>
      <c r="Q10" s="2" t="n">
        <v>999</v>
      </c>
      <c r="R10" s="2" t="n">
        <v>1004</v>
      </c>
      <c r="S10" s="2" t="n">
        <v>1008</v>
      </c>
      <c r="T10" s="2" t="n">
        <v>800</v>
      </c>
      <c r="U10" s="2" t="n">
        <v>666</v>
      </c>
      <c r="V10" s="2" t="n">
        <v>626</v>
      </c>
      <c r="W10" s="2" t="n">
        <v>599</v>
      </c>
      <c r="X10" s="2" t="n">
        <v>580</v>
      </c>
      <c r="Y10" s="2" t="n">
        <v>570</v>
      </c>
      <c r="Z10" s="2" t="n">
        <v>558</v>
      </c>
      <c r="AA10" s="2" t="n">
        <v>548</v>
      </c>
      <c r="AB10" s="2" t="n">
        <v>542</v>
      </c>
      <c r="AC10" s="2" t="n">
        <v>538</v>
      </c>
      <c r="AD10" s="2" t="n">
        <v>524</v>
      </c>
      <c r="AE10" s="2" t="n">
        <v>519</v>
      </c>
      <c r="AF10" s="2" t="n">
        <v>515</v>
      </c>
      <c r="AG10" s="2" t="n">
        <v>512</v>
      </c>
      <c r="AH10" s="2" t="n">
        <v>516</v>
      </c>
      <c r="AI10" s="2" t="n">
        <v>506</v>
      </c>
      <c r="AJ10" s="2" t="n">
        <v>502</v>
      </c>
      <c r="AK10" s="2" t="n">
        <v>500</v>
      </c>
      <c r="AL10" s="2" t="n">
        <v>490</v>
      </c>
      <c r="AM10" s="2" t="n">
        <v>501</v>
      </c>
      <c r="AN10" s="2" t="n">
        <v>495</v>
      </c>
      <c r="AO10" s="2" t="n">
        <v>482</v>
      </c>
      <c r="AP10" s="2" t="n">
        <v>488</v>
      </c>
      <c r="AQ10" s="2" t="n">
        <v>497</v>
      </c>
      <c r="AR10" s="2" t="n">
        <v>490</v>
      </c>
      <c r="AS10" s="2" t="n">
        <v>476</v>
      </c>
      <c r="AT10" s="2" t="n">
        <v>478</v>
      </c>
      <c r="AU10" s="2" t="n">
        <v>471</v>
      </c>
      <c r="AV10" s="2" t="n">
        <v>467</v>
      </c>
      <c r="AW10" s="2" t="n">
        <v>464</v>
      </c>
      <c r="AX10" s="2" t="n">
        <v>462</v>
      </c>
      <c r="AY10" s="2" t="n">
        <v>466</v>
      </c>
      <c r="AZ10" s="2" t="n">
        <v>463</v>
      </c>
      <c r="BA10" s="2" t="n">
        <v>456</v>
      </c>
    </row>
    <row r="11" customFormat="false" ht="15" hidden="false" customHeight="false" outlineLevel="0" collapsed="false">
      <c r="A11" s="4" t="n">
        <v>46147.6792361111</v>
      </c>
      <c r="B11" s="5" t="n">
        <v>46147.6792361111</v>
      </c>
      <c r="D11" s="2" t="n">
        <v>232</v>
      </c>
      <c r="E11" s="2" t="n">
        <v>232</v>
      </c>
      <c r="F11" s="2" t="n">
        <v>232</v>
      </c>
      <c r="G11" s="2" t="n">
        <v>232</v>
      </c>
      <c r="H11" s="2" t="n">
        <v>579</v>
      </c>
      <c r="I11" s="2" t="n">
        <v>846</v>
      </c>
      <c r="J11" s="2" t="n">
        <v>1019</v>
      </c>
      <c r="K11" s="2" t="n">
        <v>1068</v>
      </c>
      <c r="L11" s="2" t="n">
        <v>1082</v>
      </c>
      <c r="M11" s="2" t="n">
        <v>1088</v>
      </c>
      <c r="N11" s="2" t="n">
        <v>1084</v>
      </c>
      <c r="O11" s="2" t="n">
        <v>1090</v>
      </c>
      <c r="P11" s="2" t="n">
        <v>1088</v>
      </c>
      <c r="Q11" s="2" t="n">
        <v>1091</v>
      </c>
      <c r="R11" s="2" t="n">
        <v>1095</v>
      </c>
      <c r="S11" s="2" t="n">
        <v>1090</v>
      </c>
      <c r="T11" s="2" t="n">
        <v>862</v>
      </c>
      <c r="U11" s="2" t="n">
        <v>707</v>
      </c>
      <c r="V11" s="2" t="n">
        <v>657</v>
      </c>
      <c r="W11" s="2" t="n">
        <v>635</v>
      </c>
      <c r="X11" s="2" t="n">
        <v>626</v>
      </c>
      <c r="Y11" s="2" t="n">
        <v>615</v>
      </c>
      <c r="Z11" s="2" t="n">
        <v>594</v>
      </c>
      <c r="AA11" s="2" t="n">
        <v>572</v>
      </c>
      <c r="AB11" s="2" t="n">
        <v>568</v>
      </c>
      <c r="AC11" s="2" t="n">
        <v>561</v>
      </c>
      <c r="AD11" s="2" t="n">
        <v>550</v>
      </c>
      <c r="AE11" s="2" t="n">
        <v>544</v>
      </c>
      <c r="AF11" s="2" t="n">
        <v>542</v>
      </c>
      <c r="AG11" s="2" t="n">
        <v>535</v>
      </c>
      <c r="AH11" s="2" t="n">
        <v>524</v>
      </c>
      <c r="AI11" s="2" t="n">
        <v>516</v>
      </c>
      <c r="AJ11" s="2" t="n">
        <v>509</v>
      </c>
      <c r="AK11" s="2" t="n">
        <v>517</v>
      </c>
      <c r="AL11" s="2" t="n">
        <v>528</v>
      </c>
      <c r="AM11" s="2" t="n">
        <v>512</v>
      </c>
      <c r="AN11" s="2" t="n">
        <v>505</v>
      </c>
      <c r="AO11" s="2" t="n">
        <v>504</v>
      </c>
      <c r="AP11" s="2" t="n">
        <v>500</v>
      </c>
      <c r="AQ11" s="2" t="n">
        <v>486</v>
      </c>
      <c r="AR11" s="2" t="n">
        <v>494</v>
      </c>
      <c r="AS11" s="2" t="n">
        <v>495</v>
      </c>
      <c r="AT11" s="2" t="n">
        <v>492</v>
      </c>
      <c r="AU11" s="2" t="n">
        <v>486</v>
      </c>
      <c r="AV11" s="2" t="n">
        <v>487</v>
      </c>
      <c r="AW11" s="2" t="n">
        <v>482</v>
      </c>
      <c r="AX11" s="2" t="n">
        <v>472</v>
      </c>
      <c r="AY11" s="2" t="n">
        <v>466</v>
      </c>
      <c r="AZ11" s="2" t="n">
        <v>475</v>
      </c>
      <c r="BA11" s="2" t="n">
        <v>477</v>
      </c>
    </row>
    <row r="12" customFormat="false" ht="15" hidden="false" customHeight="false" outlineLevel="0" collapsed="false">
      <c r="A12" s="4" t="n">
        <v>46147.6795023148</v>
      </c>
      <c r="B12" s="5" t="n">
        <v>46147.6795023148</v>
      </c>
      <c r="D12" s="2" t="n">
        <v>239</v>
      </c>
      <c r="E12" s="2" t="n">
        <v>239</v>
      </c>
      <c r="F12" s="2" t="n">
        <v>239</v>
      </c>
      <c r="G12" s="2" t="n">
        <v>239</v>
      </c>
      <c r="H12" s="2" t="n">
        <v>580</v>
      </c>
      <c r="I12" s="2" t="n">
        <v>862</v>
      </c>
      <c r="J12" s="2" t="n">
        <v>1005</v>
      </c>
      <c r="K12" s="2" t="n">
        <v>1038</v>
      </c>
      <c r="L12" s="2" t="n">
        <v>1051</v>
      </c>
      <c r="M12" s="2" t="n">
        <v>1055</v>
      </c>
      <c r="N12" s="2" t="n">
        <v>1056</v>
      </c>
      <c r="O12" s="2" t="n">
        <v>1055</v>
      </c>
      <c r="P12" s="2" t="n">
        <v>1052</v>
      </c>
      <c r="Q12" s="2" t="n">
        <v>1054</v>
      </c>
      <c r="R12" s="2" t="n">
        <v>1047</v>
      </c>
      <c r="S12" s="2" t="n">
        <v>1052</v>
      </c>
      <c r="T12" s="2" t="n">
        <v>816</v>
      </c>
      <c r="U12" s="2" t="n">
        <v>657</v>
      </c>
      <c r="V12" s="2" t="n">
        <v>618</v>
      </c>
      <c r="W12" s="2" t="n">
        <v>594</v>
      </c>
      <c r="X12" s="2" t="n">
        <v>586</v>
      </c>
      <c r="Y12" s="2" t="n">
        <v>566</v>
      </c>
      <c r="Z12" s="2" t="n">
        <v>552</v>
      </c>
      <c r="AA12" s="2" t="n">
        <v>544</v>
      </c>
      <c r="AB12" s="2" t="n">
        <v>537</v>
      </c>
      <c r="AC12" s="2" t="n">
        <v>528</v>
      </c>
      <c r="AD12" s="2" t="n">
        <v>522</v>
      </c>
      <c r="AE12" s="2" t="n">
        <v>512</v>
      </c>
      <c r="AF12" s="2" t="n">
        <v>506</v>
      </c>
      <c r="AG12" s="2" t="n">
        <v>510</v>
      </c>
      <c r="AH12" s="2" t="n">
        <v>508</v>
      </c>
      <c r="AI12" s="2" t="n">
        <v>502</v>
      </c>
      <c r="AJ12" s="2" t="n">
        <v>495</v>
      </c>
      <c r="AK12" s="2" t="n">
        <v>484</v>
      </c>
      <c r="AL12" s="2" t="n">
        <v>490</v>
      </c>
      <c r="AM12" s="2" t="n">
        <v>480</v>
      </c>
      <c r="AN12" s="2" t="n">
        <v>473</v>
      </c>
      <c r="AO12" s="2" t="n">
        <v>472</v>
      </c>
      <c r="AP12" s="2" t="n">
        <v>460</v>
      </c>
      <c r="AQ12" s="2" t="n">
        <v>469</v>
      </c>
      <c r="AR12" s="2" t="n">
        <v>474</v>
      </c>
      <c r="AS12" s="2" t="n">
        <v>466</v>
      </c>
      <c r="AT12" s="2" t="n">
        <v>468</v>
      </c>
      <c r="AU12" s="2" t="n">
        <v>463</v>
      </c>
      <c r="AV12" s="2" t="n">
        <v>457</v>
      </c>
      <c r="AW12" s="2" t="n">
        <v>448</v>
      </c>
      <c r="AX12" s="2" t="n">
        <v>450</v>
      </c>
      <c r="AY12" s="2" t="n">
        <v>451</v>
      </c>
      <c r="AZ12" s="2" t="n">
        <v>450</v>
      </c>
      <c r="BA12" s="2" t="n">
        <v>442</v>
      </c>
    </row>
    <row r="13" customFormat="false" ht="15" hidden="false" customHeight="false" outlineLevel="0" collapsed="false">
      <c r="A13" s="4" t="n">
        <v>46147.6796527778</v>
      </c>
      <c r="B13" s="5" t="n">
        <v>46147.6796527778</v>
      </c>
      <c r="D13" s="2" t="n">
        <v>238</v>
      </c>
      <c r="E13" s="2" t="n">
        <v>238</v>
      </c>
      <c r="F13" s="2" t="n">
        <v>238</v>
      </c>
      <c r="G13" s="2" t="n">
        <v>238</v>
      </c>
      <c r="H13" s="2" t="n">
        <v>558</v>
      </c>
      <c r="I13" s="2" t="n">
        <v>822</v>
      </c>
      <c r="J13" s="2" t="n">
        <v>951</v>
      </c>
      <c r="K13" s="2" t="n">
        <v>984</v>
      </c>
      <c r="L13" s="2" t="n">
        <v>988</v>
      </c>
      <c r="M13" s="2" t="n">
        <v>994</v>
      </c>
      <c r="N13" s="2" t="n">
        <v>990</v>
      </c>
      <c r="O13" s="2" t="n">
        <v>995</v>
      </c>
      <c r="P13" s="2" t="n">
        <v>997</v>
      </c>
      <c r="Q13" s="2" t="n">
        <v>993</v>
      </c>
      <c r="R13" s="2" t="n">
        <v>994</v>
      </c>
      <c r="S13" s="2" t="n">
        <v>996</v>
      </c>
      <c r="T13" s="2" t="n">
        <v>792</v>
      </c>
      <c r="U13" s="2" t="n">
        <v>654</v>
      </c>
      <c r="V13" s="2" t="n">
        <v>619</v>
      </c>
      <c r="W13" s="2" t="n">
        <v>593</v>
      </c>
      <c r="X13" s="2" t="n">
        <v>584</v>
      </c>
      <c r="Y13" s="2" t="n">
        <v>572</v>
      </c>
      <c r="Z13" s="2" t="n">
        <v>552</v>
      </c>
      <c r="AA13" s="2" t="n">
        <v>544</v>
      </c>
      <c r="AB13" s="2" t="n">
        <v>534</v>
      </c>
      <c r="AC13" s="2" t="n">
        <v>524</v>
      </c>
      <c r="AD13" s="2" t="n">
        <v>522</v>
      </c>
      <c r="AE13" s="2" t="n">
        <v>518</v>
      </c>
      <c r="AF13" s="2" t="n">
        <v>519</v>
      </c>
      <c r="AG13" s="2" t="n">
        <v>522</v>
      </c>
      <c r="AH13" s="2" t="n">
        <v>504</v>
      </c>
      <c r="AI13" s="2" t="n">
        <v>507</v>
      </c>
      <c r="AJ13" s="2" t="n">
        <v>504</v>
      </c>
      <c r="AK13" s="2" t="n">
        <v>498</v>
      </c>
      <c r="AL13" s="2" t="n">
        <v>484</v>
      </c>
      <c r="AM13" s="2" t="n">
        <v>488</v>
      </c>
      <c r="AN13" s="2" t="n">
        <v>488</v>
      </c>
      <c r="AO13" s="2" t="n">
        <v>486</v>
      </c>
      <c r="AP13" s="2" t="n">
        <v>474</v>
      </c>
      <c r="AQ13" s="2" t="n">
        <v>475</v>
      </c>
      <c r="AR13" s="2" t="n">
        <v>480</v>
      </c>
      <c r="AS13" s="2" t="n">
        <v>486</v>
      </c>
      <c r="AT13" s="2" t="n">
        <v>478</v>
      </c>
      <c r="AU13" s="2" t="n">
        <v>473</v>
      </c>
      <c r="AV13" s="2" t="n">
        <v>473</v>
      </c>
      <c r="AW13" s="2" t="n">
        <v>476</v>
      </c>
      <c r="AX13" s="2" t="n">
        <v>462</v>
      </c>
      <c r="AY13" s="2" t="n">
        <v>455</v>
      </c>
      <c r="AZ13" s="2" t="n">
        <v>454</v>
      </c>
      <c r="BA13" s="2" t="n">
        <v>454</v>
      </c>
    </row>
    <row r="14" customFormat="false" ht="15" hidden="false" customHeight="false" outlineLevel="0" collapsed="false">
      <c r="A14" s="4" t="n">
        <v>46147.679849537</v>
      </c>
      <c r="B14" s="5" t="n">
        <v>46147.679849537</v>
      </c>
      <c r="D14" s="2" t="n">
        <v>253</v>
      </c>
      <c r="E14" s="2" t="n">
        <v>253</v>
      </c>
      <c r="F14" s="2" t="n">
        <v>253</v>
      </c>
      <c r="G14" s="2" t="n">
        <v>253</v>
      </c>
      <c r="H14" s="2" t="n">
        <v>555</v>
      </c>
      <c r="I14" s="2" t="n">
        <v>789</v>
      </c>
      <c r="J14" s="2" t="n">
        <v>922</v>
      </c>
      <c r="K14" s="2" t="n">
        <v>946</v>
      </c>
      <c r="L14" s="2" t="n">
        <v>952</v>
      </c>
      <c r="M14" s="2" t="n">
        <v>954</v>
      </c>
      <c r="N14" s="2" t="n">
        <v>959</v>
      </c>
      <c r="O14" s="2" t="n">
        <v>959</v>
      </c>
      <c r="P14" s="2" t="n">
        <v>956</v>
      </c>
      <c r="Q14" s="2" t="n">
        <v>954</v>
      </c>
      <c r="R14" s="2" t="n">
        <v>958</v>
      </c>
      <c r="S14" s="2" t="n">
        <v>959</v>
      </c>
      <c r="T14" s="2" t="n">
        <v>762</v>
      </c>
      <c r="U14" s="2" t="n">
        <v>640</v>
      </c>
      <c r="V14" s="2" t="n">
        <v>608</v>
      </c>
      <c r="W14" s="2" t="n">
        <v>591</v>
      </c>
      <c r="X14" s="2" t="n">
        <v>586</v>
      </c>
      <c r="Y14" s="2" t="n">
        <v>570</v>
      </c>
      <c r="Z14" s="2" t="n">
        <v>554</v>
      </c>
      <c r="AA14" s="2" t="n">
        <v>544</v>
      </c>
      <c r="AB14" s="2" t="n">
        <v>540</v>
      </c>
      <c r="AC14" s="2" t="n">
        <v>540</v>
      </c>
      <c r="AD14" s="2" t="n">
        <v>541</v>
      </c>
      <c r="AE14" s="2" t="n">
        <v>527</v>
      </c>
      <c r="AF14" s="2" t="n">
        <v>518</v>
      </c>
      <c r="AG14" s="2" t="n">
        <v>518</v>
      </c>
      <c r="AH14" s="2" t="n">
        <v>518</v>
      </c>
      <c r="AI14" s="2" t="n">
        <v>513</v>
      </c>
      <c r="AJ14" s="2" t="n">
        <v>510</v>
      </c>
      <c r="AK14" s="2" t="n">
        <v>512</v>
      </c>
      <c r="AL14" s="2" t="n">
        <v>504</v>
      </c>
      <c r="AM14" s="2" t="n">
        <v>496</v>
      </c>
      <c r="AN14" s="2" t="n">
        <v>493</v>
      </c>
      <c r="AO14" s="2" t="n">
        <v>500</v>
      </c>
      <c r="AP14" s="2" t="n">
        <v>495</v>
      </c>
      <c r="AQ14" s="2" t="n">
        <v>494</v>
      </c>
      <c r="AR14" s="2" t="n">
        <v>492</v>
      </c>
      <c r="AS14" s="2" t="n">
        <v>488</v>
      </c>
      <c r="AT14" s="2" t="n">
        <v>480</v>
      </c>
      <c r="AU14" s="2" t="n">
        <v>475</v>
      </c>
      <c r="AV14" s="2" t="n">
        <v>473</v>
      </c>
      <c r="AW14" s="2" t="n">
        <v>470</v>
      </c>
      <c r="AX14" s="2" t="n">
        <v>482</v>
      </c>
      <c r="AY14" s="2" t="n">
        <v>469</v>
      </c>
      <c r="AZ14" s="2" t="n">
        <v>459</v>
      </c>
      <c r="BA14" s="2" t="n">
        <v>466</v>
      </c>
    </row>
    <row r="15" customFormat="false" ht="15" hidden="false" customHeight="false" outlineLevel="0" collapsed="false">
      <c r="A15" s="4" t="n">
        <v>46147.6800115741</v>
      </c>
      <c r="B15" s="5" t="n">
        <v>46147.6800115741</v>
      </c>
      <c r="D15" s="2" t="n">
        <v>308</v>
      </c>
      <c r="E15" s="2" t="n">
        <v>308</v>
      </c>
      <c r="F15" s="2" t="n">
        <v>308</v>
      </c>
      <c r="G15" s="2" t="n">
        <v>308</v>
      </c>
      <c r="H15" s="2" t="n">
        <v>638</v>
      </c>
      <c r="I15" s="2" t="n">
        <v>876</v>
      </c>
      <c r="J15" s="2" t="n">
        <v>994</v>
      </c>
      <c r="K15" s="2" t="n">
        <v>1021</v>
      </c>
      <c r="L15" s="2" t="n">
        <v>1028</v>
      </c>
      <c r="M15" s="2" t="n">
        <v>1026</v>
      </c>
      <c r="N15" s="2" t="n">
        <v>1028</v>
      </c>
      <c r="O15" s="2" t="n">
        <v>1024</v>
      </c>
      <c r="P15" s="2" t="n">
        <v>1026</v>
      </c>
      <c r="Q15" s="2" t="n">
        <v>1027</v>
      </c>
      <c r="R15" s="2" t="n">
        <v>1025</v>
      </c>
      <c r="S15" s="2" t="n">
        <v>1024</v>
      </c>
      <c r="T15" s="2" t="n">
        <v>811</v>
      </c>
      <c r="U15" s="2" t="n">
        <v>678</v>
      </c>
      <c r="V15" s="2" t="n">
        <v>648</v>
      </c>
      <c r="W15" s="2" t="n">
        <v>640</v>
      </c>
      <c r="X15" s="2" t="n">
        <v>633</v>
      </c>
      <c r="Y15" s="2" t="n">
        <v>622</v>
      </c>
      <c r="Z15" s="2" t="n">
        <v>604</v>
      </c>
      <c r="AA15" s="2" t="n">
        <v>597</v>
      </c>
      <c r="AB15" s="2" t="n">
        <v>596</v>
      </c>
      <c r="AC15" s="2" t="n">
        <v>596</v>
      </c>
      <c r="AD15" s="2" t="n">
        <v>584</v>
      </c>
      <c r="AE15" s="2" t="n">
        <v>573</v>
      </c>
      <c r="AF15" s="2" t="n">
        <v>568</v>
      </c>
      <c r="AG15" s="2" t="n">
        <v>570</v>
      </c>
      <c r="AH15" s="2" t="n">
        <v>566</v>
      </c>
      <c r="AI15" s="2" t="n">
        <v>563</v>
      </c>
      <c r="AJ15" s="2" t="n">
        <v>560</v>
      </c>
      <c r="AK15" s="2" t="n">
        <v>554</v>
      </c>
      <c r="AL15" s="2" t="n">
        <v>547</v>
      </c>
      <c r="AM15" s="2" t="n">
        <v>549</v>
      </c>
      <c r="AN15" s="2" t="n">
        <v>548</v>
      </c>
      <c r="AO15" s="2" t="n">
        <v>534</v>
      </c>
      <c r="AP15" s="2" t="n">
        <v>540</v>
      </c>
      <c r="AQ15" s="2" t="n">
        <v>539</v>
      </c>
      <c r="AR15" s="2" t="n">
        <v>536</v>
      </c>
      <c r="AS15" s="2" t="n">
        <v>530</v>
      </c>
      <c r="AT15" s="2" t="n">
        <v>525</v>
      </c>
      <c r="AU15" s="2" t="n">
        <v>526</v>
      </c>
      <c r="AV15" s="2" t="n">
        <v>525</v>
      </c>
      <c r="AW15" s="2" t="n">
        <v>516</v>
      </c>
      <c r="AX15" s="2" t="n">
        <v>511</v>
      </c>
      <c r="AY15" s="2" t="n">
        <v>513</v>
      </c>
      <c r="AZ15" s="2" t="n">
        <v>515</v>
      </c>
      <c r="BA15" s="2" t="n">
        <v>512</v>
      </c>
    </row>
    <row r="16" customFormat="false" ht="15" hidden="false" customHeight="false" outlineLevel="0" collapsed="false">
      <c r="A16" s="4" t="n">
        <v>46147.6806944445</v>
      </c>
      <c r="B16" s="5" t="n">
        <v>46147.6806944445</v>
      </c>
      <c r="D16" s="2" t="n">
        <v>282</v>
      </c>
      <c r="E16" s="2" t="n">
        <v>282</v>
      </c>
      <c r="F16" s="2" t="n">
        <v>282</v>
      </c>
      <c r="G16" s="2" t="n">
        <v>282</v>
      </c>
      <c r="H16" s="2" t="n">
        <v>622</v>
      </c>
      <c r="I16" s="2" t="n">
        <v>820</v>
      </c>
      <c r="J16" s="2" t="n">
        <v>917</v>
      </c>
      <c r="K16" s="2" t="n">
        <v>950</v>
      </c>
      <c r="L16" s="2" t="n">
        <v>962</v>
      </c>
      <c r="M16" s="2" t="n">
        <v>967</v>
      </c>
      <c r="N16" s="2" t="n">
        <v>964</v>
      </c>
      <c r="O16" s="2" t="n">
        <v>958</v>
      </c>
      <c r="P16" s="2" t="n">
        <v>958</v>
      </c>
      <c r="Q16" s="2" t="n">
        <v>957</v>
      </c>
      <c r="R16" s="2" t="n">
        <v>954</v>
      </c>
      <c r="S16" s="2" t="n">
        <v>956</v>
      </c>
      <c r="T16" s="2" t="n">
        <v>728</v>
      </c>
      <c r="U16" s="2" t="n">
        <v>586</v>
      </c>
      <c r="V16" s="2" t="n">
        <v>557</v>
      </c>
      <c r="W16" s="2" t="n">
        <v>540</v>
      </c>
      <c r="X16" s="2" t="n">
        <v>533</v>
      </c>
      <c r="Y16" s="2" t="n">
        <v>526</v>
      </c>
      <c r="Z16" s="2" t="n">
        <v>530</v>
      </c>
      <c r="AA16" s="2" t="n">
        <v>518</v>
      </c>
      <c r="AB16" s="2" t="n">
        <v>508</v>
      </c>
      <c r="AC16" s="2" t="n">
        <v>498</v>
      </c>
      <c r="AD16" s="2" t="n">
        <v>506</v>
      </c>
      <c r="AE16" s="2" t="n">
        <v>499</v>
      </c>
      <c r="AF16" s="2" t="n">
        <v>497</v>
      </c>
      <c r="AG16" s="2" t="n">
        <v>494</v>
      </c>
      <c r="AH16" s="2" t="n">
        <v>486</v>
      </c>
      <c r="AI16" s="2" t="n">
        <v>476</v>
      </c>
      <c r="AJ16" s="2" t="n">
        <v>474</v>
      </c>
      <c r="AK16" s="2" t="n">
        <v>476</v>
      </c>
      <c r="AL16" s="2" t="n">
        <v>484</v>
      </c>
      <c r="AM16" s="2" t="n">
        <v>472</v>
      </c>
      <c r="AN16" s="2" t="n">
        <v>471</v>
      </c>
      <c r="AO16" s="2" t="n">
        <v>472</v>
      </c>
      <c r="AP16" s="2" t="n">
        <v>464</v>
      </c>
      <c r="AQ16" s="2" t="n">
        <v>460</v>
      </c>
      <c r="AR16" s="2" t="n">
        <v>459</v>
      </c>
      <c r="AS16" s="2" t="n">
        <v>457</v>
      </c>
      <c r="AT16" s="2" t="n">
        <v>456</v>
      </c>
      <c r="AU16" s="2" t="n">
        <v>457</v>
      </c>
      <c r="AV16" s="2" t="n">
        <v>458</v>
      </c>
      <c r="AW16" s="2" t="n">
        <v>455</v>
      </c>
      <c r="AX16" s="2" t="n">
        <v>446</v>
      </c>
      <c r="AY16" s="2" t="n">
        <v>446</v>
      </c>
      <c r="AZ16" s="2" t="n">
        <v>446</v>
      </c>
      <c r="BA16" s="2" t="n">
        <v>448</v>
      </c>
    </row>
    <row r="17" customFormat="false" ht="15" hidden="false" customHeight="false" outlineLevel="0" collapsed="false">
      <c r="A17" s="4" t="n">
        <v>46147.6808796296</v>
      </c>
      <c r="B17" s="5" t="n">
        <v>46147.6808796296</v>
      </c>
      <c r="D17" s="2" t="n">
        <v>337</v>
      </c>
      <c r="E17" s="2" t="n">
        <v>337</v>
      </c>
      <c r="F17" s="2" t="n">
        <v>337</v>
      </c>
      <c r="G17" s="2" t="n">
        <v>337</v>
      </c>
      <c r="H17" s="2" t="n">
        <v>740</v>
      </c>
      <c r="I17" s="2" t="n">
        <v>1071</v>
      </c>
      <c r="J17" s="2" t="n">
        <v>1203</v>
      </c>
      <c r="K17" s="2" t="n">
        <v>1236</v>
      </c>
      <c r="L17" s="2" t="n">
        <v>1240</v>
      </c>
      <c r="M17" s="2" t="n">
        <v>1238</v>
      </c>
      <c r="N17" s="2" t="n">
        <v>1246</v>
      </c>
      <c r="O17" s="2" t="n">
        <v>1248</v>
      </c>
      <c r="P17" s="2" t="n">
        <v>1243</v>
      </c>
      <c r="Q17" s="2" t="n">
        <v>1239</v>
      </c>
      <c r="R17" s="2" t="n">
        <v>1237</v>
      </c>
      <c r="S17" s="2" t="n">
        <v>1232</v>
      </c>
      <c r="T17" s="2" t="n">
        <v>958</v>
      </c>
      <c r="U17" s="2" t="n">
        <v>779</v>
      </c>
      <c r="V17" s="2" t="n">
        <v>749</v>
      </c>
      <c r="W17" s="2" t="n">
        <v>732</v>
      </c>
      <c r="X17" s="2" t="n">
        <v>718</v>
      </c>
      <c r="Y17" s="2" t="n">
        <v>712</v>
      </c>
      <c r="Z17" s="2" t="n">
        <v>696</v>
      </c>
      <c r="AA17" s="2" t="n">
        <v>682</v>
      </c>
      <c r="AB17" s="2" t="n">
        <v>673</v>
      </c>
      <c r="AC17" s="2" t="n">
        <v>670</v>
      </c>
      <c r="AD17" s="2" t="n">
        <v>664</v>
      </c>
      <c r="AE17" s="2" t="n">
        <v>654</v>
      </c>
      <c r="AF17" s="2" t="n">
        <v>646</v>
      </c>
      <c r="AG17" s="2" t="n">
        <v>642</v>
      </c>
      <c r="AH17" s="2" t="n">
        <v>632</v>
      </c>
      <c r="AI17" s="2" t="n">
        <v>635</v>
      </c>
      <c r="AJ17" s="2" t="n">
        <v>636</v>
      </c>
      <c r="AK17" s="2" t="n">
        <v>628</v>
      </c>
      <c r="AL17" s="2" t="n">
        <v>612</v>
      </c>
      <c r="AM17" s="2" t="n">
        <v>610</v>
      </c>
      <c r="AN17" s="2" t="n">
        <v>608</v>
      </c>
      <c r="AO17" s="2" t="n">
        <v>600</v>
      </c>
      <c r="AP17" s="2" t="n">
        <v>602</v>
      </c>
      <c r="AQ17" s="2" t="n">
        <v>600</v>
      </c>
      <c r="AR17" s="2" t="n">
        <v>600</v>
      </c>
      <c r="AS17" s="2" t="n">
        <v>600</v>
      </c>
      <c r="AT17" s="2" t="n">
        <v>588</v>
      </c>
      <c r="AU17" s="2" t="n">
        <v>584</v>
      </c>
      <c r="AV17" s="2" t="n">
        <v>582</v>
      </c>
      <c r="AW17" s="2" t="n">
        <v>586</v>
      </c>
      <c r="AX17" s="2" t="n">
        <v>580</v>
      </c>
      <c r="AY17" s="2" t="n">
        <v>580</v>
      </c>
      <c r="AZ17" s="2" t="n">
        <v>578</v>
      </c>
      <c r="BA17" s="2" t="n">
        <v>574</v>
      </c>
    </row>
    <row r="18" customFormat="false" ht="15" hidden="false" customHeight="false" outlineLevel="0" collapsed="false">
      <c r="A18" s="4" t="n">
        <v>46147.6810763889</v>
      </c>
      <c r="B18" s="5" t="n">
        <v>46147.6810763889</v>
      </c>
      <c r="D18" s="2" t="n">
        <v>303</v>
      </c>
      <c r="E18" s="2" t="n">
        <v>303</v>
      </c>
      <c r="F18" s="2" t="n">
        <v>303</v>
      </c>
      <c r="G18" s="2" t="n">
        <v>303</v>
      </c>
      <c r="H18" s="2" t="n">
        <v>691</v>
      </c>
      <c r="I18" s="2" t="n">
        <v>971</v>
      </c>
      <c r="J18" s="2" t="n">
        <v>1145</v>
      </c>
      <c r="K18" s="2" t="n">
        <v>1186</v>
      </c>
      <c r="L18" s="2" t="n">
        <v>1200</v>
      </c>
      <c r="M18" s="2" t="n">
        <v>1195</v>
      </c>
      <c r="N18" s="2" t="n">
        <v>1204</v>
      </c>
      <c r="O18" s="2" t="n">
        <v>1205</v>
      </c>
      <c r="P18" s="2" t="n">
        <v>1208</v>
      </c>
      <c r="Q18" s="2" t="n">
        <v>1200</v>
      </c>
      <c r="R18" s="2" t="n">
        <v>1208</v>
      </c>
      <c r="S18" s="2" t="n">
        <v>1204</v>
      </c>
      <c r="T18" s="2" t="n">
        <v>942</v>
      </c>
      <c r="U18" s="2" t="n">
        <v>772</v>
      </c>
      <c r="V18" s="2" t="n">
        <v>729</v>
      </c>
      <c r="W18" s="2" t="n">
        <v>706</v>
      </c>
      <c r="X18" s="2" t="n">
        <v>694</v>
      </c>
      <c r="Y18" s="2" t="n">
        <v>687</v>
      </c>
      <c r="Z18" s="2" t="n">
        <v>678</v>
      </c>
      <c r="AA18" s="2" t="n">
        <v>660</v>
      </c>
      <c r="AB18" s="2" t="n">
        <v>653</v>
      </c>
      <c r="AC18" s="2" t="n">
        <v>647</v>
      </c>
      <c r="AD18" s="2" t="n">
        <v>638</v>
      </c>
      <c r="AE18" s="2" t="n">
        <v>630</v>
      </c>
      <c r="AF18" s="2" t="n">
        <v>624</v>
      </c>
      <c r="AG18" s="2" t="n">
        <v>614</v>
      </c>
      <c r="AH18" s="2" t="n">
        <v>602</v>
      </c>
      <c r="AI18" s="2" t="n">
        <v>610</v>
      </c>
      <c r="AJ18" s="2" t="n">
        <v>604</v>
      </c>
      <c r="AK18" s="2" t="n">
        <v>592</v>
      </c>
      <c r="AL18" s="2" t="n">
        <v>596</v>
      </c>
      <c r="AM18" s="2" t="n">
        <v>589</v>
      </c>
      <c r="AN18" s="2" t="n">
        <v>582</v>
      </c>
      <c r="AO18" s="2" t="n">
        <v>574</v>
      </c>
      <c r="AP18" s="2" t="n">
        <v>574</v>
      </c>
      <c r="AQ18" s="2" t="n">
        <v>569</v>
      </c>
      <c r="AR18" s="2" t="n">
        <v>568</v>
      </c>
      <c r="AS18" s="2" t="n">
        <v>568</v>
      </c>
      <c r="AT18" s="2" t="n">
        <v>572</v>
      </c>
      <c r="AU18" s="2" t="n">
        <v>562</v>
      </c>
      <c r="AV18" s="2" t="n">
        <v>554</v>
      </c>
      <c r="AW18" s="2" t="n">
        <v>543</v>
      </c>
      <c r="AX18" s="2" t="n">
        <v>534</v>
      </c>
      <c r="AY18" s="2" t="n">
        <v>550</v>
      </c>
      <c r="AZ18" s="2" t="n">
        <v>553</v>
      </c>
      <c r="BA18" s="2" t="n">
        <v>549</v>
      </c>
    </row>
    <row r="19" customFormat="false" ht="15" hidden="false" customHeight="false" outlineLevel="0" collapsed="false">
      <c r="A19" s="4" t="n">
        <v>46147.68125</v>
      </c>
      <c r="B19" s="5" t="n">
        <v>46147.68125</v>
      </c>
      <c r="D19" s="2" t="n">
        <v>301</v>
      </c>
      <c r="E19" s="2" t="n">
        <v>301</v>
      </c>
      <c r="F19" s="2" t="n">
        <v>301</v>
      </c>
      <c r="G19" s="2" t="n">
        <v>301</v>
      </c>
      <c r="H19" s="2" t="n">
        <v>651</v>
      </c>
      <c r="I19" s="2" t="n">
        <v>866</v>
      </c>
      <c r="J19" s="2" t="n">
        <v>972</v>
      </c>
      <c r="K19" s="2" t="n">
        <v>1006</v>
      </c>
      <c r="L19" s="2" t="n">
        <v>1020</v>
      </c>
      <c r="M19" s="2" t="n">
        <v>1017</v>
      </c>
      <c r="N19" s="2" t="n">
        <v>1018</v>
      </c>
      <c r="O19" s="2" t="n">
        <v>1013</v>
      </c>
      <c r="P19" s="2" t="n">
        <v>1016</v>
      </c>
      <c r="Q19" s="2" t="n">
        <v>1013</v>
      </c>
      <c r="R19" s="2" t="n">
        <v>1011</v>
      </c>
      <c r="S19" s="2" t="n">
        <v>1012</v>
      </c>
      <c r="T19" s="2" t="n">
        <v>800</v>
      </c>
      <c r="U19" s="2" t="n">
        <v>650</v>
      </c>
      <c r="V19" s="2" t="n">
        <v>617</v>
      </c>
      <c r="W19" s="2" t="n">
        <v>602</v>
      </c>
      <c r="X19" s="2" t="n">
        <v>601</v>
      </c>
      <c r="Y19" s="2" t="n">
        <v>591</v>
      </c>
      <c r="Z19" s="2" t="n">
        <v>575</v>
      </c>
      <c r="AA19" s="2" t="n">
        <v>566</v>
      </c>
      <c r="AB19" s="2" t="n">
        <v>562</v>
      </c>
      <c r="AC19" s="2" t="n">
        <v>560</v>
      </c>
      <c r="AD19" s="2" t="n">
        <v>556</v>
      </c>
      <c r="AE19" s="2" t="n">
        <v>552</v>
      </c>
      <c r="AF19" s="2" t="n">
        <v>545</v>
      </c>
      <c r="AG19" s="2" t="n">
        <v>541</v>
      </c>
      <c r="AH19" s="2" t="n">
        <v>536</v>
      </c>
      <c r="AI19" s="2" t="n">
        <v>532</v>
      </c>
      <c r="AJ19" s="2" t="n">
        <v>528</v>
      </c>
      <c r="AK19" s="2" t="n">
        <v>524</v>
      </c>
      <c r="AL19" s="2" t="n">
        <v>518</v>
      </c>
      <c r="AM19" s="2" t="n">
        <v>520</v>
      </c>
      <c r="AN19" s="2" t="n">
        <v>513</v>
      </c>
      <c r="AO19" s="2" t="n">
        <v>511</v>
      </c>
      <c r="AP19" s="2" t="n">
        <v>510</v>
      </c>
      <c r="AQ19" s="2" t="n">
        <v>510</v>
      </c>
      <c r="AR19" s="2" t="n">
        <v>508</v>
      </c>
      <c r="AS19" s="2" t="n">
        <v>505</v>
      </c>
      <c r="AT19" s="2" t="n">
        <v>501</v>
      </c>
      <c r="AU19" s="2" t="n">
        <v>500</v>
      </c>
      <c r="AV19" s="2" t="n">
        <v>501</v>
      </c>
      <c r="AW19" s="2" t="n">
        <v>498</v>
      </c>
      <c r="AX19" s="2" t="n">
        <v>494</v>
      </c>
      <c r="AY19" s="2" t="n">
        <v>494</v>
      </c>
      <c r="AZ19" s="2" t="n">
        <v>482</v>
      </c>
      <c r="BA19" s="2" t="n">
        <v>483</v>
      </c>
    </row>
    <row r="20" customFormat="false" ht="15" hidden="false" customHeight="false" outlineLevel="0" collapsed="false">
      <c r="A20" s="4" t="n">
        <v>46147.681412037</v>
      </c>
      <c r="B20" s="5" t="n">
        <v>46147.681412037</v>
      </c>
      <c r="D20" s="2" t="n">
        <v>245</v>
      </c>
      <c r="E20" s="2" t="n">
        <v>245</v>
      </c>
      <c r="F20" s="2" t="n">
        <v>245</v>
      </c>
      <c r="G20" s="2" t="n">
        <v>245</v>
      </c>
      <c r="H20" s="2" t="n">
        <v>574</v>
      </c>
      <c r="I20" s="2" t="n">
        <v>818</v>
      </c>
      <c r="J20" s="2" t="n">
        <v>937</v>
      </c>
      <c r="K20" s="2" t="n">
        <v>989</v>
      </c>
      <c r="L20" s="2" t="n">
        <v>1003</v>
      </c>
      <c r="M20" s="2" t="n">
        <v>1005</v>
      </c>
      <c r="N20" s="2" t="n">
        <v>1003</v>
      </c>
      <c r="O20" s="2" t="n">
        <v>1009</v>
      </c>
      <c r="P20" s="2" t="n">
        <v>1010</v>
      </c>
      <c r="Q20" s="2" t="n">
        <v>1005</v>
      </c>
      <c r="R20" s="2" t="n">
        <v>1011</v>
      </c>
      <c r="S20" s="2" t="n">
        <v>1003</v>
      </c>
      <c r="T20" s="2" t="n">
        <v>774</v>
      </c>
      <c r="U20" s="2" t="n">
        <v>625</v>
      </c>
      <c r="V20" s="2" t="n">
        <v>588</v>
      </c>
      <c r="W20" s="2" t="n">
        <v>568</v>
      </c>
      <c r="X20" s="2" t="n">
        <v>556</v>
      </c>
      <c r="Y20" s="2" t="n">
        <v>540</v>
      </c>
      <c r="Z20" s="2" t="n">
        <v>535</v>
      </c>
      <c r="AA20" s="2" t="n">
        <v>531</v>
      </c>
      <c r="AB20" s="2" t="n">
        <v>528</v>
      </c>
      <c r="AC20" s="2" t="n">
        <v>524</v>
      </c>
      <c r="AD20" s="2" t="n">
        <v>512</v>
      </c>
      <c r="AE20" s="2" t="n">
        <v>505</v>
      </c>
      <c r="AF20" s="2" t="n">
        <v>498</v>
      </c>
      <c r="AG20" s="2" t="n">
        <v>486</v>
      </c>
      <c r="AH20" s="2" t="n">
        <v>492</v>
      </c>
      <c r="AI20" s="2" t="n">
        <v>486</v>
      </c>
      <c r="AJ20" s="2" t="n">
        <v>476</v>
      </c>
      <c r="AK20" s="2" t="n">
        <v>480</v>
      </c>
      <c r="AL20" s="2" t="n">
        <v>480</v>
      </c>
      <c r="AM20" s="2" t="n">
        <v>474</v>
      </c>
      <c r="AN20" s="2" t="n">
        <v>466</v>
      </c>
      <c r="AO20" s="2" t="n">
        <v>454</v>
      </c>
      <c r="AP20" s="2" t="n">
        <v>465</v>
      </c>
      <c r="AQ20" s="2" t="n">
        <v>464</v>
      </c>
      <c r="AR20" s="2" t="n">
        <v>458</v>
      </c>
      <c r="AS20" s="2" t="n">
        <v>448</v>
      </c>
      <c r="AT20" s="2" t="n">
        <v>454</v>
      </c>
      <c r="AU20" s="2" t="n">
        <v>451</v>
      </c>
      <c r="AV20" s="2" t="n">
        <v>444</v>
      </c>
      <c r="AW20" s="2" t="n">
        <v>440</v>
      </c>
      <c r="AX20" s="2" t="n">
        <v>436</v>
      </c>
      <c r="AY20" s="2" t="n">
        <v>435</v>
      </c>
      <c r="AZ20" s="2" t="n">
        <v>434</v>
      </c>
      <c r="BA20" s="2" t="n">
        <v>434</v>
      </c>
    </row>
    <row r="21" customFormat="false" ht="15" hidden="false" customHeight="false" outlineLevel="0" collapsed="false">
      <c r="A21" s="4" t="n">
        <v>46147.6816435185</v>
      </c>
      <c r="B21" s="5" t="n">
        <v>46147.6816435185</v>
      </c>
      <c r="D21" s="2" t="n">
        <v>283</v>
      </c>
      <c r="E21" s="2" t="n">
        <v>283</v>
      </c>
      <c r="F21" s="2" t="n">
        <v>283</v>
      </c>
      <c r="G21" s="2" t="n">
        <v>283</v>
      </c>
      <c r="H21" s="2" t="n">
        <v>684</v>
      </c>
      <c r="I21" s="2" t="n">
        <v>1049</v>
      </c>
      <c r="J21" s="2" t="n">
        <v>1220</v>
      </c>
      <c r="K21" s="2" t="n">
        <v>1251</v>
      </c>
      <c r="L21" s="2" t="n">
        <v>1262</v>
      </c>
      <c r="M21" s="2" t="n">
        <v>1272</v>
      </c>
      <c r="N21" s="2" t="n">
        <v>1271</v>
      </c>
      <c r="O21" s="2" t="n">
        <v>1273</v>
      </c>
      <c r="P21" s="2" t="n">
        <v>1273</v>
      </c>
      <c r="Q21" s="2" t="n">
        <v>1270</v>
      </c>
      <c r="R21" s="2" t="n">
        <v>1276</v>
      </c>
      <c r="S21" s="2" t="n">
        <v>1278</v>
      </c>
      <c r="T21" s="2" t="n">
        <v>1012</v>
      </c>
      <c r="U21" s="2" t="n">
        <v>828</v>
      </c>
      <c r="V21" s="2" t="n">
        <v>778</v>
      </c>
      <c r="W21" s="2" t="n">
        <v>743</v>
      </c>
      <c r="X21" s="2" t="n">
        <v>728</v>
      </c>
      <c r="Y21" s="2" t="n">
        <v>716</v>
      </c>
      <c r="Z21" s="2" t="n">
        <v>685</v>
      </c>
      <c r="AA21" s="2" t="n">
        <v>660</v>
      </c>
      <c r="AB21" s="2" t="n">
        <v>649</v>
      </c>
      <c r="AC21" s="2" t="n">
        <v>654</v>
      </c>
      <c r="AD21" s="2" t="n">
        <v>639</v>
      </c>
      <c r="AE21" s="2" t="n">
        <v>634</v>
      </c>
      <c r="AF21" s="2" t="n">
        <v>631</v>
      </c>
      <c r="AG21" s="2" t="n">
        <v>620</v>
      </c>
      <c r="AH21" s="2" t="n">
        <v>618</v>
      </c>
      <c r="AI21" s="2" t="n">
        <v>613</v>
      </c>
      <c r="AJ21" s="2" t="n">
        <v>611</v>
      </c>
      <c r="AK21" s="2" t="n">
        <v>618</v>
      </c>
      <c r="AL21" s="2" t="n">
        <v>598</v>
      </c>
      <c r="AM21" s="2" t="n">
        <v>601</v>
      </c>
      <c r="AN21" s="2" t="n">
        <v>602</v>
      </c>
      <c r="AO21" s="2" t="n">
        <v>590</v>
      </c>
      <c r="AP21" s="2" t="n">
        <v>580</v>
      </c>
      <c r="AQ21" s="2" t="n">
        <v>578</v>
      </c>
      <c r="AR21" s="2" t="n">
        <v>578</v>
      </c>
      <c r="AS21" s="2" t="n">
        <v>580</v>
      </c>
      <c r="AT21" s="2" t="n">
        <v>572</v>
      </c>
      <c r="AU21" s="2" t="n">
        <v>565</v>
      </c>
      <c r="AV21" s="2" t="n">
        <v>564</v>
      </c>
      <c r="AW21" s="2" t="n">
        <v>572</v>
      </c>
      <c r="AX21" s="2" t="n">
        <v>565</v>
      </c>
      <c r="AY21" s="2" t="n">
        <v>555</v>
      </c>
      <c r="AZ21" s="2" t="n">
        <v>551</v>
      </c>
      <c r="BA21" s="2" t="n">
        <v>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2026-05-05T14:15:45Z</dcterms:created>
  <dc:creator/>
  <dc:description/>
  <dc:language>en-US</dc:language>
  <cp:lastModifiedBy/>
  <dcterms:modified xsi:type="dcterms:W3CDTF">2026-05-05T14:15:45Z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