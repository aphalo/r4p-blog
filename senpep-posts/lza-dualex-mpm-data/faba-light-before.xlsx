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asure" sheetId="1" state="visible" r:id="rId3"/>
    <sheet name="SAT Chart" sheetId="2" state="visible" r:id="rId4"/>
  </sheets>
  <definedNames>
    <definedName function="false" hidden="false" localSheetId="0" name="CoeffNmolC" vbProcedure="false">Measure!$AG$4</definedName>
    <definedName function="false" hidden="false" localSheetId="0" name="CoeffNmolL" vbProcedure="false">Measure!$AG$3</definedName>
    <definedName function="false" hidden="false" localSheetId="0" name="CoeffNmolQ" vbProcedure="false">Measure!$AG$2</definedName>
    <definedName function="false" hidden="false" localSheetId="0" name="CoeffUgC" vbProcedure="false">Measure!$AH$4</definedName>
    <definedName function="false" hidden="false" localSheetId="0" name="CoeffUgL" vbProcedure="false">Measure!$AH$3</definedName>
    <definedName function="false" hidden="false" localSheetId="0" name="CoeffUgQ" vbProcedure="false">Measure!$AH$2</definedName>
    <definedName function="false" hidden="false" localSheetId="0" name="Offset310" vbProcedure="false">Measure!$J$2</definedName>
    <definedName function="false" hidden="false" localSheetId="0" name="Offset365" vbProcedure="false">Measure!$K$2</definedName>
    <definedName function="false" hidden="false" localSheetId="0" name="Offset450" vbProcedure="false">Measure!$L$2</definedName>
    <definedName function="false" hidden="false" localSheetId="0" name="Offset530" vbProcedure="false">Measure!$M$2</definedName>
    <definedName function="false" hidden="false" localSheetId="0" name="Offset615" vbProcedure="false">Measure!$N$2</definedName>
    <definedName function="false" hidden="false" localSheetId="0" name="Offset700" vbProcedure="false">Measure!$AB$2</definedName>
    <definedName function="false" hidden="false" localSheetId="0" name="Offset770" vbProcedure="false">Measure!$AC$2</definedName>
    <definedName function="false" hidden="false" localSheetId="0" name="OffsetFm" vbProcedure="false">Measure!$G$2</definedName>
    <definedName function="false" hidden="false" localSheetId="0" name="OffsetFo" vbProcedure="false">Measure!$F$2</definedName>
    <definedName function="false" hidden="false" localSheetId="0" name="Reference310" vbProcedure="false">Measure!$V$3</definedName>
    <definedName function="false" hidden="false" localSheetId="0" name="Reference365" vbProcedure="false">Measure!$W$3</definedName>
    <definedName function="false" hidden="false" localSheetId="0" name="Reference450" vbProcedure="false">Measure!$X$3</definedName>
    <definedName function="false" hidden="false" localSheetId="0" name="Reference530" vbProcedure="false">Measure!$Y$3</definedName>
    <definedName function="false" hidden="false" localSheetId="0" name="Reference700" vbProcedure="false">Measure!$AB$3</definedName>
    <definedName function="false" hidden="false" localSheetId="0" name="Reference770" vbProcedure="false">Measure!$AC$3</definedName>
    <definedName function="false" hidden="false" localSheetId="0" name="StandardF310" vbProcedure="false">Measure!$O$3</definedName>
    <definedName function="false" hidden="false" localSheetId="0" name="StandardF365" vbProcedure="false">Measure!$P$3</definedName>
    <definedName function="false" hidden="false" localSheetId="0" name="StandardF450" vbProcedure="false">Measure!$Q$3</definedName>
    <definedName function="false" hidden="false" localSheetId="0" name="StandardF530" vbProcedure="false">Measure!$R$3</definedName>
    <definedName function="false" hidden="false" localSheetId="0" name="StandardF615" vbProcedure="false">Measure!$S$3</definedName>
    <definedName function="false" hidden="false" localSheetId="0" name="StandardI310" vbProcedure="false">Measure!$J$3</definedName>
    <definedName function="false" hidden="false" localSheetId="0" name="StandardI365" vbProcedure="false">Measure!$K$3</definedName>
    <definedName function="false" hidden="false" localSheetId="0" name="StandardI450" vbProcedure="false">Measure!$L$3</definedName>
    <definedName function="false" hidden="false" localSheetId="0" name="StandardI530" vbProcedure="false">Measure!$M$3</definedName>
    <definedName function="false" hidden="false" localSheetId="0" name="StandardI615" vbProcedure="false">Measure!$N$3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<sst xmlns="http://schemas.openxmlformats.org/spreadsheetml/2006/main" count="82" uniqueCount="54">
  <si>
    <t xml:space="preserve">Date</t>
  </si>
  <si>
    <t xml:space="preserve">Time</t>
  </si>
  <si>
    <t xml:space="preserve">Type</t>
  </si>
  <si>
    <t xml:space="preserve">Number</t>
  </si>
  <si>
    <t xml:space="preserve">Marker</t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</si>
  <si>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Fo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</si>
  <si>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Fm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</si>
  <si>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o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</si>
  <si>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m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</si>
  <si>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</si>
  <si>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</si>
  <si>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</si>
  <si>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</si>
  <si>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615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</si>
  <si>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</si>
  <si>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</si>
  <si>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</si>
  <si>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</si>
  <si>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615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</si>
  <si>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V</t>
    </r>
    <r>
      <rPr>
        <b val="true"/>
        <sz val="11"/>
        <color theme="1"/>
        <rFont val="Calibri"/>
        <family val="2"/>
        <charset val="1"/>
      </rPr>
      <t xml:space="preserve">/F</t>
    </r>
    <r>
      <rPr>
        <b val="true"/>
        <vertAlign val="subscript"/>
        <sz val="11"/>
        <color theme="1"/>
        <rFont val="Calibri"/>
        <family val="2"/>
        <charset val="1"/>
      </rPr>
      <t xml:space="preserve">M</t>
    </r>
  </si>
  <si>
    <t xml:space="preserve">MesRef</t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</si>
  <si>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</si>
  <si>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</si>
  <si>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</si>
  <si>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</si>
  <si>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A</t>
    </r>
    <r>
      <rPr>
        <b val="true"/>
        <vertAlign val="subscript"/>
        <sz val="11"/>
        <color theme="1"/>
        <rFont val="Calibri"/>
        <family val="2"/>
        <charset val="1"/>
      </rPr>
      <t xml:space="preserve">FLAV</t>
    </r>
  </si>
  <si>
    <r>
      <rPr>
        <b val="true"/>
        <sz val="11"/>
        <color theme="1"/>
        <rFont val="Calibri"/>
        <family val="2"/>
        <charset val="1"/>
      </rPr>
      <t xml:space="preserve">A</t>
    </r>
    <r>
      <rPr>
        <b val="true"/>
        <vertAlign val="subscript"/>
        <sz val="11"/>
        <color theme="1"/>
        <rFont val="Calibri"/>
        <family val="2"/>
        <charset val="1"/>
      </rPr>
      <t xml:space="preserve">ANTH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</si>
  <si>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700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</si>
  <si>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770</t>
    </r>
  </si>
  <si>
    <t xml:space="preserve">Transmittance</t>
  </si>
  <si>
    <t xml:space="preserve">Absorbance</t>
  </si>
  <si>
    <t xml:space="preserve">Model</t>
  </si>
  <si>
    <r>
      <rPr>
        <b val="true"/>
        <sz val="11"/>
        <color theme="1"/>
        <rFont val="Calibri"/>
        <family val="2"/>
        <charset val="1"/>
      </rPr>
      <t xml:space="preserve">nmol/cm</t>
    </r>
    <r>
      <rPr>
        <b val="true"/>
        <vertAlign val="superscript"/>
        <sz val="11"/>
        <color theme="1"/>
        <rFont val="Calibri"/>
        <family val="2"/>
        <charset val="1"/>
      </rPr>
      <t xml:space="preserve">2</t>
    </r>
  </si>
  <si>
    <r>
      <rPr>
        <b val="true"/>
        <sz val="11"/>
        <color theme="1"/>
        <rFont val="Calibri"/>
        <family val="2"/>
        <charset val="1"/>
      </rPr>
      <t xml:space="preserve">µg/cm</t>
    </r>
    <r>
      <rPr>
        <b val="true"/>
        <vertAlign val="superscript"/>
        <sz val="11"/>
        <color theme="1"/>
        <rFont val="Calibri"/>
        <family val="2"/>
        <charset val="1"/>
      </rPr>
      <t xml:space="preserve">2</t>
    </r>
  </si>
  <si>
    <t xml:space="preserve">NBI</t>
  </si>
  <si>
    <t xml:space="preserve">Satellite #</t>
  </si>
  <si>
    <t xml:space="preserve">DoP</t>
  </si>
  <si>
    <t xml:space="preserve">Latitude</t>
  </si>
  <si>
    <t xml:space="preserve">Longitude</t>
  </si>
  <si>
    <t xml:space="preserve">Height</t>
  </si>
  <si>
    <t xml:space="preserve">Leaf Az.</t>
  </si>
  <si>
    <t xml:space="preserve">Leaf Sl.</t>
  </si>
  <si>
    <t xml:space="preserve">Sun Az.</t>
  </si>
  <si>
    <t xml:space="preserve">Sun Elev.</t>
  </si>
  <si>
    <t xml:space="preserve">AoI</t>
  </si>
  <si>
    <t xml:space="preserve">Incidence</t>
  </si>
  <si>
    <t xml:space="preserve">Offset</t>
  </si>
  <si>
    <t xml:space="preserve">C3 Coeff Q</t>
  </si>
  <si>
    <t xml:space="preserve">Reference</t>
  </si>
  <si>
    <t xml:space="preserve">Hylotelephium upper side</t>
  </si>
  <si>
    <t xml:space="preserve">C3 Coeff L</t>
  </si>
  <si>
    <t xml:space="preserve">C3 Coeff C</t>
  </si>
  <si>
    <t xml:space="preserve">Sample</t>
  </si>
  <si>
    <t xml:space="preserve">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</si>
</sst>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0"/>
    <numFmt numFmtId="167" formatCode="yy\-mm\-dd"/>
    <numFmt numFmtId="168" formatCode="hh:mm:ss"/>
    <numFmt numFmtId="169" formatCode="0.00"/>
    <numFmt numFmtId="170" formatCode="0.0"/>
    <numFmt numFmtId="171" formatCode="0&quot; °&quot;"/>
    <numFmt numFmtId="172" formatCode="0.0&quot; %&quot;"/>
    <numFmt numFmtId="173" formatCode="0&quot; ms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vertAlign val="subscript"/>
      <sz val="11"/>
      <color theme="1"/>
      <name val="Calibri"/>
      <family val="2"/>
      <charset val="1"/>
    </font>
    <font>
      <b val="true"/>
      <vertAlign val="superscript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453125" defaultRowHeight="15" customHeight="false" zeroHeight="false" outlineLevelRow="0" outlineLevelCol="1"/>
  <cols>
    <col collapsed="false" customWidth="true" hidden="false" outlineLevel="0" max="3" min="3" style="0" width="10.71"/>
    <col collapsed="false" customWidth="true" hidden="true" outlineLevel="1" max="19" min="6" style="0" width="11.53"/>
    <col collapsed="false" customWidth="true" hidden="true" outlineLevel="1" max="31" min="28" style="0" width="11.53"/>
    <col collapsed="false" customWidth="true" hidden="false" outlineLevel="0" max="32" min="32" style="0" width="10.71"/>
    <col collapsed="false" customWidth="true" hidden="true" outlineLevel="1" max="45" min="36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customFormat="false" ht="15" hidden="false" customHeight="false" outlineLevel="0" collapsed="false">
      <c r="C2" s="0" t="s">
        <v>46</v>
      </c>
      <c r="F2" s="2" t="n">
        <v>44</v>
      </c>
      <c r="G2" s="2" t="n">
        <v>44</v>
      </c>
      <c r="J2" s="2" t="n">
        <v>73</v>
      </c>
      <c r="K2" s="2" t="n">
        <v>45</v>
      </c>
      <c r="L2" s="2" t="n">
        <v>24</v>
      </c>
      <c r="M2" s="2" t="n">
        <v>73</v>
      </c>
      <c r="N2" s="2" t="n">
        <v>118</v>
      </c>
      <c r="AB2" s="2" t="n">
        <v>2</v>
      </c>
      <c r="AC2" s="2" t="n">
        <v>2</v>
      </c>
      <c r="AF2" s="0" t="s">
        <v>47</v>
      </c>
      <c r="AG2" s="2" t="n">
        <v>564.719970703125</v>
      </c>
      <c r="AH2" s="2" t="n">
        <v>505.429992675781</v>
      </c>
    </row>
    <row r="3" customFormat="false" ht="15" hidden="false" customHeight="false" outlineLevel="0" collapsed="false">
      <c r="C3" s="0" t="s">
        <v>48</v>
      </c>
      <c r="J3" s="2" t="n">
        <v>1262</v>
      </c>
      <c r="K3" s="2" t="n">
        <v>1262</v>
      </c>
      <c r="L3" s="2" t="n">
        <v>1254</v>
      </c>
      <c r="M3" s="2" t="n">
        <v>1239</v>
      </c>
      <c r="N3" s="2" t="n">
        <v>1238</v>
      </c>
      <c r="O3" s="2" t="n">
        <f aca="false">StandardI310-Offset310</f>
        <v>1189</v>
      </c>
      <c r="P3" s="2" t="n">
        <f aca="false">StandardI365-Offset365</f>
        <v>1217</v>
      </c>
      <c r="Q3" s="2" t="n">
        <f aca="false">StandardI450-Offset450</f>
        <v>1230</v>
      </c>
      <c r="R3" s="2" t="n">
        <f aca="false">StandardI530-Offset530</f>
        <v>1166</v>
      </c>
      <c r="S3" s="2" t="n">
        <f aca="false">StandardI615-Offset615</f>
        <v>1120</v>
      </c>
      <c r="U3" s="0" t="s">
        <v>49</v>
      </c>
      <c r="V3" s="3" t="n">
        <v>0.573</v>
      </c>
      <c r="W3" s="3" t="n">
        <v>1.105</v>
      </c>
      <c r="X3" s="3" t="n">
        <v>1.055</v>
      </c>
      <c r="Y3" s="3" t="n">
        <v>0.809</v>
      </c>
      <c r="AB3" s="2" t="n">
        <v>748</v>
      </c>
      <c r="AC3" s="2" t="n">
        <v>873</v>
      </c>
      <c r="AF3" s="0" t="s">
        <v>50</v>
      </c>
      <c r="AG3" s="2" t="n">
        <v>114.500465393066</v>
      </c>
      <c r="AH3" s="2" t="n">
        <v>102.48999786377</v>
      </c>
    </row>
    <row r="4" customFormat="false" ht="15" hidden="false" customHeight="false" outlineLevel="0" collapsed="false">
      <c r="AF4" s="0" t="s">
        <v>51</v>
      </c>
      <c r="AG4" s="2" t="n">
        <v>5.27810001373291</v>
      </c>
      <c r="AH4" s="2" t="n">
        <v>4.72389984130859</v>
      </c>
    </row>
    <row r="5" customFormat="false" ht="15" hidden="false" customHeight="false" outlineLevel="0" collapsed="false">
      <c r="A5" s="4" t="n">
        <v>46147.6475</v>
      </c>
      <c r="B5" s="5" t="n">
        <v>46147.6475</v>
      </c>
      <c r="C5" s="0" t="s">
        <v>52</v>
      </c>
      <c r="D5" s="2" t="n">
        <v>1</v>
      </c>
      <c r="E5" s="0" t="s">
        <v>53</v>
      </c>
      <c r="F5" s="2" t="n">
        <v>338</v>
      </c>
      <c r="G5" s="2" t="n">
        <v>916</v>
      </c>
      <c r="H5" s="2" t="n">
        <f aca="false">IF(F5="","",F5-OffsetFo)</f>
        <v>294</v>
      </c>
      <c r="I5" s="2" t="n">
        <f aca="false">IF(G5="","",G5-OffsetFm)</f>
        <v>872</v>
      </c>
      <c r="J5" s="2" t="n">
        <v>145</v>
      </c>
      <c r="K5" s="2" t="n">
        <v>186</v>
      </c>
      <c r="L5" s="2" t="n">
        <v>883</v>
      </c>
      <c r="M5" s="2" t="n">
        <v>695</v>
      </c>
      <c r="N5" s="2" t="n">
        <v>945</v>
      </c>
      <c r="O5" s="2" t="n">
        <f aca="false">IF(J5="","",J5-Offset310)</f>
        <v>72</v>
      </c>
      <c r="P5" s="2" t="n">
        <f aca="false">IF(K5="","",K5-Offset365)</f>
        <v>141</v>
      </c>
      <c r="Q5" s="2" t="n">
        <f aca="false">IF(L5="","",L5-Offset450)</f>
        <v>859</v>
      </c>
      <c r="R5" s="2" t="n">
        <f aca="false">IF(M5="","",M5-Offset530)</f>
        <v>622</v>
      </c>
      <c r="S5" s="2" t="n">
        <f aca="false">IF(N5="","",N5-Offset615)</f>
        <v>827</v>
      </c>
      <c r="T5" s="3" t="n">
        <f aca="false">IF(OR(H5="",I5="",I5&lt;50,H5&lt;10,I5&lt;H5),"",1-H5/I5)</f>
        <v>0.662844036697248</v>
      </c>
      <c r="V5" s="3" t="n">
        <f aca="false">IF(O5="","",(O5/S5)/(Reference310*StandardF310/StandardF615))</f>
        <v>0.143122704083272</v>
      </c>
      <c r="W5" s="3" t="n">
        <f aca="false">IF(P5="","",(P5/S5)/(Reference365*StandardF365/StandardF615))</f>
        <v>0.14199686937006</v>
      </c>
      <c r="X5" s="3" t="n">
        <f aca="false">IF(Q5="","",(Q5/S5)/(Reference450*StandardF450/StandardF615))</f>
        <v>0.8964954833477</v>
      </c>
      <c r="Y5" s="3" t="n">
        <f aca="false">IF(R5="","",(R5/S5)/(Reference530*StandardF530/StandardF615))</f>
        <v>0.893008979270406</v>
      </c>
      <c r="Z5" s="3" t="n">
        <f aca="false">IF(OR(W5="",W5&lt;=0),"",LOG10(1/W5))</f>
        <v>0.84772123047818</v>
      </c>
      <c r="AA5" s="3" t="n">
        <f aca="false">IF(OR(Y5="",Y5&lt;=0),"",LOG10(1/Y5))</f>
        <v>0.049144174226814</v>
      </c>
      <c r="AB5" s="2" t="n">
        <v>387</v>
      </c>
      <c r="AC5" s="2" t="n">
        <v>627</v>
      </c>
      <c r="AD5" s="3" t="n">
        <f aca="false">IF(OR(AB5="",AC5=""),"",((AB5-Offset700)/(AC5-Offset770))*((Reference770-Offset770)/(Reference700-Offset700)))</f>
        <v>0.719217158176944</v>
      </c>
      <c r="AE5" s="3" t="n">
        <f aca="false">IF(OR(AD5="",AD5&lt;=0),"",-LOG10(AD5))</f>
        <v>0.14313996030058</v>
      </c>
      <c r="AG5" s="6" t="n">
        <f aca="false">IF(AE5="","",CoeffNmolQ*AE5^2+CoeffNmolL*AE5+CoeffNmolC)</f>
        <v>33.2382668034147</v>
      </c>
      <c r="AH5" s="6" t="n">
        <f aca="false">IF(AE5="","",CoeffUgQ*AE5^2+CoeffUgL*AE5+CoeffUgC)</f>
        <v>29.7500935660099</v>
      </c>
      <c r="AI5" s="7" t="n">
        <f aca="false">IF(OR(Z5="",AH5=""),"",AH5/Z5)</f>
        <v>35.094194289824</v>
      </c>
      <c r="AO5" s="8" t="n">
        <v>252</v>
      </c>
      <c r="AP5" s="8" t="n">
        <v>21</v>
      </c>
      <c r="AT5" s="9" t="str">
        <f aca="false">IF(AS5="","",COS(RADIANS(AS5)) * 100)</f>
        <v/>
      </c>
    </row>
    <row r="6" customFormat="false" ht="15" hidden="false" customHeight="false" outlineLevel="0" collapsed="false">
      <c r="A6" s="4" t="n">
        <v>46147.6476851852</v>
      </c>
      <c r="B6" s="5" t="n">
        <v>46147.6476851852</v>
      </c>
      <c r="C6" s="0" t="s">
        <v>52</v>
      </c>
      <c r="D6" s="2" t="n">
        <v>2</v>
      </c>
      <c r="E6" s="0" t="s">
        <v>53</v>
      </c>
      <c r="F6" s="2" t="n">
        <v>435</v>
      </c>
      <c r="G6" s="2" t="n">
        <v>823</v>
      </c>
      <c r="H6" s="2" t="n">
        <f aca="false">IF(F6="","",F6-OffsetFo)</f>
        <v>391</v>
      </c>
      <c r="I6" s="2" t="n">
        <f aca="false">IF(G6="","",G6-OffsetFm)</f>
        <v>779</v>
      </c>
      <c r="J6" s="2" t="n">
        <v>268</v>
      </c>
      <c r="K6" s="2" t="n">
        <v>523</v>
      </c>
      <c r="L6" s="2" t="n">
        <v>1078</v>
      </c>
      <c r="M6" s="2" t="n">
        <v>903</v>
      </c>
      <c r="N6" s="2" t="n">
        <v>1247</v>
      </c>
      <c r="O6" s="2" t="n">
        <f aca="false">IF(J6="","",J6-Offset310)</f>
        <v>195</v>
      </c>
      <c r="P6" s="2" t="n">
        <f aca="false">IF(K6="","",K6-Offset365)</f>
        <v>478</v>
      </c>
      <c r="Q6" s="2" t="n">
        <f aca="false">IF(L6="","",L6-Offset450)</f>
        <v>1054</v>
      </c>
      <c r="R6" s="2" t="n">
        <f aca="false">IF(M6="","",M6-Offset530)</f>
        <v>830</v>
      </c>
      <c r="S6" s="2" t="n">
        <f aca="false">IF(N6="","",N6-Offset615)</f>
        <v>1129</v>
      </c>
      <c r="T6" s="3" t="n">
        <f aca="false">IF(OR(H6="",I6="",I6&lt;50,H6&lt;10,I6&lt;H6),"",1-H6/I6)</f>
        <v>0.498074454428755</v>
      </c>
      <c r="V6" s="3" t="n">
        <f aca="false">IF(O6="","",(O6/S6)/(Reference310*StandardF310/StandardF615))</f>
        <v>0.283937147844564</v>
      </c>
      <c r="W6" s="3" t="n">
        <f aca="false">IF(P6="","",(P6/S6)/(Reference365*StandardF365/StandardF615))</f>
        <v>0.352613650712053</v>
      </c>
      <c r="X6" s="3" t="n">
        <f aca="false">IF(Q6="","",(Q6/S6)/(Reference450*StandardF450/StandardF615))</f>
        <v>0.8057626280006</v>
      </c>
      <c r="Y6" s="3" t="n">
        <f aca="false">IF(R6="","",(R6/S6)/(Reference530*StandardF530/StandardF615))</f>
        <v>0.87288112215659</v>
      </c>
      <c r="Z6" s="3" t="n">
        <f aca="false">IF(OR(W6="",W6&lt;=0),"",LOG10(1/W6))</f>
        <v>0.452700878893862</v>
      </c>
      <c r="AA6" s="3" t="n">
        <f aca="false">IF(OR(Y6="",Y6&lt;=0),"",LOG10(1/Y6))</f>
        <v>0.0590448989139799</v>
      </c>
      <c r="AB6" s="2" t="n">
        <v>485</v>
      </c>
      <c r="AC6" s="2" t="n">
        <v>691</v>
      </c>
      <c r="AD6" s="3" t="n">
        <f aca="false">IF(OR(AB6="",AC6=""),"",((AB6-Offset700)/(AC6-Offset770))*((Reference770-Offset770)/(Reference700-Offset700)))</f>
        <v>0.8184784258182</v>
      </c>
      <c r="AE6" s="3" t="n">
        <f aca="false">IF(OR(AD6="",AD6&lt;=0),"",-LOG10(AD6))</f>
        <v>0.0869927636211193</v>
      </c>
      <c r="AG6" s="6" t="n">
        <f aca="false">IF(AE6="","",CoeffNmolQ*AE6^2+CoeffNmolL*AE6+CoeffNmolC)</f>
        <v>19.5124663661892</v>
      </c>
      <c r="AH6" s="6" t="n">
        <f aca="false">IF(AE6="","",CoeffUgQ*AE6^2+CoeffUgL*AE6+CoeffUgC)</f>
        <v>17.4647512380015</v>
      </c>
      <c r="AI6" s="7" t="n">
        <f aca="false">IF(OR(Z6="",AH6=""),"",AH6/Z6)</f>
        <v>38.5790089046773</v>
      </c>
      <c r="AO6" s="8" t="n">
        <v>288</v>
      </c>
      <c r="AP6" s="8" t="n">
        <v>12</v>
      </c>
      <c r="AT6" s="9" t="str">
        <f aca="false">IF(AS6="","",COS(RADIANS(AS6)) * 100)</f>
        <v/>
      </c>
    </row>
    <row r="7" customFormat="false" ht="15" hidden="false" customHeight="false" outlineLevel="0" collapsed="false">
      <c r="A7" s="4" t="n">
        <v>46147.6479398148</v>
      </c>
      <c r="B7" s="5" t="n">
        <v>46147.6479398148</v>
      </c>
      <c r="C7" s="0" t="s">
        <v>52</v>
      </c>
      <c r="D7" s="2" t="n">
        <v>3</v>
      </c>
      <c r="E7" s="0" t="s">
        <v>53</v>
      </c>
      <c r="F7" s="2" t="n">
        <v>362</v>
      </c>
      <c r="G7" s="2" t="n">
        <v>893</v>
      </c>
      <c r="H7" s="2" t="n">
        <f aca="false">IF(F7="","",F7-OffsetFo)</f>
        <v>318</v>
      </c>
      <c r="I7" s="2" t="n">
        <f aca="false">IF(G7="","",G7-OffsetFm)</f>
        <v>849</v>
      </c>
      <c r="J7" s="2" t="n">
        <v>140</v>
      </c>
      <c r="K7" s="2" t="n">
        <v>205</v>
      </c>
      <c r="L7" s="2" t="n">
        <v>910</v>
      </c>
      <c r="M7" s="2" t="n">
        <v>747</v>
      </c>
      <c r="N7" s="2" t="n">
        <v>1004</v>
      </c>
      <c r="O7" s="2" t="n">
        <f aca="false">IF(J7="","",J7-Offset310)</f>
        <v>67</v>
      </c>
      <c r="P7" s="2" t="n">
        <f aca="false">IF(K7="","",K7-Offset365)</f>
        <v>160</v>
      </c>
      <c r="Q7" s="2" t="n">
        <f aca="false">IF(L7="","",L7-Offset450)</f>
        <v>886</v>
      </c>
      <c r="R7" s="2" t="n">
        <f aca="false">IF(M7="","",M7-Offset530)</f>
        <v>674</v>
      </c>
      <c r="S7" s="2" t="n">
        <f aca="false">IF(N7="","",N7-Offset615)</f>
        <v>886</v>
      </c>
      <c r="T7" s="3" t="n">
        <f aca="false">IF(OR(H7="",I7="",I7&lt;50,H7&lt;10,I7&lt;H7),"",1-H7/I7)</f>
        <v>0.625441696113074</v>
      </c>
      <c r="V7" s="3" t="n">
        <f aca="false">IF(O7="","",(O7/S7)/(Reference310*StandardF310/StandardF615))</f>
        <v>0.124314740258183</v>
      </c>
      <c r="W7" s="3" t="n">
        <f aca="false">IF(P7="","",(P7/S7)/(Reference365*StandardF365/StandardF615))</f>
        <v>0.150401243576568</v>
      </c>
      <c r="X7" s="3" t="n">
        <f aca="false">IF(Q7="","",(Q7/S7)/(Reference450*StandardF450/StandardF615))</f>
        <v>0.863098678380149</v>
      </c>
      <c r="Y7" s="3" t="n">
        <f aca="false">IF(R7="","",(R7/S7)/(Reference530*StandardF530/StandardF615))</f>
        <v>0.903227444832017</v>
      </c>
      <c r="Z7" s="3" t="n">
        <f aca="false">IF(OR(W7="",W7&lt;=0),"",LOG10(1/W7))</f>
        <v>0.822748572812139</v>
      </c>
      <c r="AA7" s="3" t="n">
        <f aca="false">IF(OR(Y7="",Y7&lt;=0),"",LOG10(1/Y7))</f>
        <v>0.044202874716817</v>
      </c>
      <c r="AB7" s="2" t="n">
        <v>441</v>
      </c>
      <c r="AC7" s="2" t="n">
        <v>688</v>
      </c>
      <c r="AD7" s="3" t="n">
        <f aca="false">IF(OR(AB7="",AC7=""),"",((AB7-Offset700)/(AC7-Offset770))*((Reference770-Offset770)/(Reference700-Offset700)))</f>
        <v>0.747170526579073</v>
      </c>
      <c r="AE7" s="3" t="n">
        <f aca="false">IF(OR(AD7="",AD7&lt;=0),"",-LOG10(AD7))</f>
        <v>0.126580267929636</v>
      </c>
      <c r="AG7" s="6" t="n">
        <f aca="false">IF(AE7="","",CoeffNmolQ*AE7^2+CoeffNmolL*AE7+CoeffNmolC)</f>
        <v>28.8198616033233</v>
      </c>
      <c r="AH7" s="6" t="n">
        <f aca="false">IF(AE7="","",CoeffUgQ*AE7^2+CoeffUgL*AE7+CoeffUgC)</f>
        <v>25.795395751993</v>
      </c>
      <c r="AI7" s="7" t="n">
        <f aca="false">IF(OR(Z7="",AH7=""),"",AH7/Z7)</f>
        <v>31.3527079893009</v>
      </c>
      <c r="AO7" s="8" t="n">
        <v>304</v>
      </c>
      <c r="AP7" s="8" t="n">
        <v>16</v>
      </c>
      <c r="AT7" s="9" t="str">
        <f aca="false">IF(AS7="","",COS(RADIANS(AS7)) * 100)</f>
        <v/>
      </c>
    </row>
    <row r="8" customFormat="false" ht="15" hidden="false" customHeight="false" outlineLevel="0" collapsed="false">
      <c r="A8" s="4" t="n">
        <v>46147.648287037</v>
      </c>
      <c r="B8" s="5" t="n">
        <v>46147.648287037</v>
      </c>
      <c r="C8" s="0" t="s">
        <v>52</v>
      </c>
      <c r="D8" s="2" t="n">
        <v>4</v>
      </c>
      <c r="E8" s="0" t="s">
        <v>53</v>
      </c>
      <c r="F8" s="2" t="n">
        <v>351</v>
      </c>
      <c r="G8" s="2" t="n">
        <v>954</v>
      </c>
      <c r="H8" s="2" t="n">
        <f aca="false">IF(F8="","",F8-OffsetFo)</f>
        <v>307</v>
      </c>
      <c r="I8" s="2" t="n">
        <f aca="false">IF(G8="","",G8-OffsetFm)</f>
        <v>910</v>
      </c>
      <c r="J8" s="2" t="n">
        <v>146</v>
      </c>
      <c r="K8" s="2" t="n">
        <v>186</v>
      </c>
      <c r="L8" s="2" t="n">
        <v>880</v>
      </c>
      <c r="M8" s="2" t="n">
        <v>734</v>
      </c>
      <c r="N8" s="2" t="n">
        <v>1000</v>
      </c>
      <c r="O8" s="2" t="n">
        <f aca="false">IF(J8="","",J8-Offset310)</f>
        <v>73</v>
      </c>
      <c r="P8" s="2" t="n">
        <f aca="false">IF(K8="","",K8-Offset365)</f>
        <v>141</v>
      </c>
      <c r="Q8" s="2" t="n">
        <f aca="false">IF(L8="","",L8-Offset450)</f>
        <v>856</v>
      </c>
      <c r="R8" s="2" t="n">
        <f aca="false">IF(M8="","",M8-Offset530)</f>
        <v>661</v>
      </c>
      <c r="S8" s="2" t="n">
        <f aca="false">IF(N8="","",N8-Offset615)</f>
        <v>882</v>
      </c>
      <c r="T8" s="3" t="n">
        <f aca="false">IF(OR(H8="",I8="",I8&lt;50,H8&lt;10,I8&lt;H8),"",1-H8/I8)</f>
        <v>0.662637362637363</v>
      </c>
      <c r="V8" s="3" t="n">
        <f aca="false">IF(O8="","",(O8/S8)/(Reference310*StandardF310/StandardF615))</f>
        <v>0.136061677503956</v>
      </c>
      <c r="W8" s="3" t="n">
        <f aca="false">IF(P8="","",(P8/S8)/(Reference365*StandardF365/StandardF615))</f>
        <v>0.133142189307301</v>
      </c>
      <c r="X8" s="3" t="n">
        <f aca="false">IF(Q8="","",(Q8/S8)/(Reference450*StandardF450/StandardF615))</f>
        <v>0.837655860196607</v>
      </c>
      <c r="Y8" s="3" t="n">
        <f aca="false">IF(R8="","",(R8/S8)/(Reference530*StandardF530/StandardF615))</f>
        <v>0.889823405391192</v>
      </c>
      <c r="Z8" s="3" t="n">
        <f aca="false">IF(OR(W8="",W8&lt;=0),"",LOG10(1/W8))</f>
        <v>0.875684306057453</v>
      </c>
      <c r="AA8" s="3" t="n">
        <f aca="false">IF(OR(Y8="",Y8&lt;=0),"",LOG10(1/Y8))</f>
        <v>0.0506961750112655</v>
      </c>
      <c r="AB8" s="2" t="n">
        <v>355</v>
      </c>
      <c r="AC8" s="2" t="n">
        <v>619</v>
      </c>
      <c r="AD8" s="3" t="n">
        <f aca="false">IF(OR(AB8="",AC8=""),"",((AB8-Offset700)/(AC8-Offset770))*((Reference770-Offset770)/(Reference700-Offset700)))</f>
        <v>0.667988320203701</v>
      </c>
      <c r="AE8" s="3" t="n">
        <f aca="false">IF(OR(AD8="",AD8&lt;=0),"",-LOG10(AD8))</f>
        <v>0.175231131110425</v>
      </c>
      <c r="AG8" s="6" t="n">
        <f aca="false">IF(AE8="","",CoeffNmolQ*AE8^2+CoeffNmolL*AE8+CoeffNmolC)</f>
        <v>42.6824088721197</v>
      </c>
      <c r="AH8" s="6" t="n">
        <f aca="false">IF(AE8="","",CoeffUgQ*AE8^2+CoeffUgL*AE8+CoeffUgC)</f>
        <v>38.2030458294589</v>
      </c>
      <c r="AI8" s="7" t="n">
        <f aca="false">IF(OR(Z8="",AH8=""),"",AH8/Z8)</f>
        <v>43.62650508316</v>
      </c>
      <c r="AO8" s="8" t="n">
        <v>336</v>
      </c>
      <c r="AP8" s="8" t="n">
        <v>47</v>
      </c>
      <c r="AT8" s="9" t="str">
        <f aca="false">IF(AS8="","",COS(RADIANS(AS8)) * 100)</f>
        <v/>
      </c>
    </row>
    <row r="9" customFormat="false" ht="15" hidden="false" customHeight="false" outlineLevel="0" collapsed="false">
      <c r="A9" s="4" t="n">
        <v>46147.6485532407</v>
      </c>
      <c r="B9" s="5" t="n">
        <v>46147.6485532407</v>
      </c>
      <c r="C9" s="0" t="s">
        <v>52</v>
      </c>
      <c r="D9" s="2" t="n">
        <v>5</v>
      </c>
      <c r="E9" s="0" t="s">
        <v>53</v>
      </c>
      <c r="F9" s="2" t="n">
        <v>313</v>
      </c>
      <c r="G9" s="2" t="n">
        <v>867</v>
      </c>
      <c r="H9" s="2" t="n">
        <f aca="false">IF(F9="","",F9-OffsetFo)</f>
        <v>269</v>
      </c>
      <c r="I9" s="2" t="n">
        <f aca="false">IF(G9="","",G9-OffsetFm)</f>
        <v>823</v>
      </c>
      <c r="J9" s="2" t="n">
        <v>141</v>
      </c>
      <c r="K9" s="2" t="n">
        <v>181</v>
      </c>
      <c r="L9" s="2" t="n">
        <v>771</v>
      </c>
      <c r="M9" s="2" t="n">
        <v>635</v>
      </c>
      <c r="N9" s="2" t="n">
        <v>857</v>
      </c>
      <c r="O9" s="2" t="n">
        <f aca="false">IF(J9="","",J9-Offset310)</f>
        <v>68</v>
      </c>
      <c r="P9" s="2" t="n">
        <f aca="false">IF(K9="","",K9-Offset365)</f>
        <v>136</v>
      </c>
      <c r="Q9" s="2" t="n">
        <f aca="false">IF(L9="","",L9-Offset450)</f>
        <v>747</v>
      </c>
      <c r="R9" s="2" t="n">
        <f aca="false">IF(M9="","",M9-Offset530)</f>
        <v>562</v>
      </c>
      <c r="S9" s="2" t="n">
        <f aca="false">IF(N9="","",N9-Offset615)</f>
        <v>739</v>
      </c>
      <c r="T9" s="3" t="n">
        <f aca="false">IF(OR(H9="",I9="",I9&lt;50,H9&lt;10,I9&lt;H9),"",1-H9/I9)</f>
        <v>0.67314702308627</v>
      </c>
      <c r="V9" s="3" t="n">
        <f aca="false">IF(O9="","",(O9/S9)/(Reference310*StandardF310/StandardF615))</f>
        <v>0.15126763619807</v>
      </c>
      <c r="W9" s="3" t="n">
        <f aca="false">IF(P9="","",(P9/S9)/(Reference365*StandardF365/StandardF615))</f>
        <v>0.153270874881615</v>
      </c>
      <c r="X9" s="3" t="n">
        <f aca="false">IF(Q9="","",(Q9/S9)/(Reference450*StandardF450/StandardF615))</f>
        <v>0.872442101150164</v>
      </c>
      <c r="Y9" s="3" t="n">
        <f aca="false">IF(R9="","",(R9/S9)/(Reference530*StandardF530/StandardF615))</f>
        <v>0.902948181759969</v>
      </c>
      <c r="Z9" s="3" t="n">
        <f aca="false">IF(OR(W9="",W9&lt;=0),"",LOG10(1/W9))</f>
        <v>0.814540363605621</v>
      </c>
      <c r="AA9" s="3" t="n">
        <f aca="false">IF(OR(Y9="",Y9&lt;=0),"",LOG10(1/Y9))</f>
        <v>0.0443371721908507</v>
      </c>
      <c r="AB9" s="2" t="n">
        <v>414</v>
      </c>
      <c r="AC9" s="2" t="n">
        <v>680</v>
      </c>
      <c r="AD9" s="3" t="n">
        <f aca="false">IF(OR(AB9="",AC9=""),"",((AB9-Offset700)/(AC9-Offset770))*((Reference770-Offset770)/(Reference700-Offset700)))</f>
        <v>0.709490932960054</v>
      </c>
      <c r="AE9" s="3" t="n">
        <f aca="false">IF(OR(AD9="",AD9&lt;=0),"",-LOG10(AD9))</f>
        <v>0.149053150298934</v>
      </c>
      <c r="AG9" s="6" t="n">
        <f aca="false">IF(AE9="","",CoeffNmolQ*AE9^2+CoeffNmolL*AE9+CoeffNmolC)</f>
        <v>34.8910492366584</v>
      </c>
      <c r="AH9" s="6" t="n">
        <f aca="false">IF(AE9="","",CoeffUgQ*AE9^2+CoeffUgL*AE9+CoeffUgC)</f>
        <v>31.2294149912961</v>
      </c>
      <c r="AI9" s="7" t="n">
        <f aca="false">IF(OR(Z9="",AH9=""),"",AH9/Z9)</f>
        <v>38.3399232090314</v>
      </c>
      <c r="AO9" s="8" t="n">
        <v>314</v>
      </c>
      <c r="AP9" s="8" t="n">
        <v>34</v>
      </c>
      <c r="AT9" s="9" t="str">
        <f aca="false">IF(AS9="","",COS(RADIANS(AS9)) * 100)</f>
        <v/>
      </c>
    </row>
    <row r="10" customFormat="false" ht="15" hidden="false" customHeight="false" outlineLevel="0" collapsed="false">
      <c r="A10" s="4" t="n">
        <v>46147.6491203704</v>
      </c>
      <c r="B10" s="5" t="n">
        <v>46147.6491203704</v>
      </c>
      <c r="C10" s="0" t="s">
        <v>52</v>
      </c>
      <c r="D10" s="2" t="n">
        <v>6</v>
      </c>
      <c r="E10" s="0" t="s">
        <v>53</v>
      </c>
      <c r="F10" s="2" t="n">
        <v>308</v>
      </c>
      <c r="G10" s="2" t="n">
        <v>734</v>
      </c>
      <c r="H10" s="2" t="n">
        <f aca="false">IF(F10="","",F10-OffsetFo)</f>
        <v>264</v>
      </c>
      <c r="I10" s="2" t="n">
        <f aca="false">IF(G10="","",G10-OffsetFm)</f>
        <v>690</v>
      </c>
      <c r="J10" s="2" t="n">
        <v>192</v>
      </c>
      <c r="K10" s="2" t="n">
        <v>283</v>
      </c>
      <c r="L10" s="2" t="n">
        <v>752</v>
      </c>
      <c r="M10" s="2" t="n">
        <v>628</v>
      </c>
      <c r="N10" s="2" t="n">
        <v>842</v>
      </c>
      <c r="O10" s="2" t="n">
        <f aca="false">IF(J10="","",J10-Offset310)</f>
        <v>119</v>
      </c>
      <c r="P10" s="2" t="n">
        <f aca="false">IF(K10="","",K10-Offset365)</f>
        <v>238</v>
      </c>
      <c r="Q10" s="2" t="n">
        <f aca="false">IF(L10="","",L10-Offset450)</f>
        <v>728</v>
      </c>
      <c r="R10" s="2" t="n">
        <f aca="false">IF(M10="","",M10-Offset530)</f>
        <v>555</v>
      </c>
      <c r="S10" s="2" t="n">
        <f aca="false">IF(N10="","",N10-Offset615)</f>
        <v>724</v>
      </c>
      <c r="T10" s="3" t="n">
        <f aca="false">IF(OR(H10="",I10="",I10&lt;50,H10&lt;10,I10&lt;H10),"",1-H10/I10)</f>
        <v>0.617391304347826</v>
      </c>
      <c r="V10" s="3" t="n">
        <f aca="false">IF(O10="","",(O10/S10)/(Reference310*StandardF310/StandardF615))</f>
        <v>0.270202859824798</v>
      </c>
      <c r="W10" s="3" t="n">
        <f aca="false">IF(P10="","",(P10/S10)/(Reference365*StandardF365/StandardF615))</f>
        <v>0.273781158757802</v>
      </c>
      <c r="X10" s="3" t="n">
        <f aca="false">IF(Q10="","",(Q10/S10)/(Reference450*StandardF450/StandardF615))</f>
        <v>0.867867179365675</v>
      </c>
      <c r="Y10" s="3" t="n">
        <f aca="false">IF(R10="","",(R10/S10)/(Reference530*StandardF530/StandardF615))</f>
        <v>0.910175974734921</v>
      </c>
      <c r="Z10" s="3" t="n">
        <f aca="false">IF(OR(W10="",W10&lt;=0),"",LOG10(1/W10))</f>
        <v>0.562596442721648</v>
      </c>
      <c r="AA10" s="3" t="n">
        <f aca="false">IF(OR(Y10="",Y10&lt;=0),"",LOG10(1/Y10))</f>
        <v>0.0408746324395567</v>
      </c>
      <c r="AB10" s="2" t="n">
        <v>412</v>
      </c>
      <c r="AC10" s="2" t="n">
        <v>671</v>
      </c>
      <c r="AD10" s="3" t="n">
        <f aca="false">IF(OR(AB10="",AC10=""),"",((AB10-Offset700)/(AC10-Offset770))*((Reference770-Offset770)/(Reference700-Offset700)))</f>
        <v>0.715545189691308</v>
      </c>
      <c r="AE10" s="3" t="n">
        <f aca="false">IF(OR(AD10="",AD10&lt;=0),"",-LOG10(AD10))</f>
        <v>0.145362933513093</v>
      </c>
      <c r="AG10" s="6" t="n">
        <f aca="false">IF(AE10="","",CoeffNmolQ*AE10^2+CoeffNmolL*AE10+CoeffNmolC)</f>
        <v>33.8549725040818</v>
      </c>
      <c r="AH10" s="6" t="n">
        <f aca="false">IF(AE10="","",CoeffUgQ*AE10^2+CoeffUgL*AE10+CoeffUgC)</f>
        <v>30.3020756281859</v>
      </c>
      <c r="AI10" s="7" t="n">
        <f aca="false">IF(OR(Z10="",AH10=""),"",AH10/Z10)</f>
        <v>53.8611219822061</v>
      </c>
      <c r="AO10" s="8" t="n">
        <v>52</v>
      </c>
      <c r="AP10" s="8" t="n">
        <v>19</v>
      </c>
      <c r="AT10" s="9" t="str">
        <f aca="false">IF(AS10="","",COS(RADIANS(AS10)) * 100)</f>
        <v/>
      </c>
    </row>
    <row r="11" customFormat="false" ht="15" hidden="false" customHeight="false" outlineLevel="0" collapsed="false">
      <c r="A11" s="4" t="n">
        <v>46147.6493402778</v>
      </c>
      <c r="B11" s="5" t="n">
        <v>46147.6493402778</v>
      </c>
      <c r="C11" s="0" t="s">
        <v>52</v>
      </c>
      <c r="D11" s="2" t="n">
        <v>7</v>
      </c>
      <c r="E11" s="0" t="s">
        <v>53</v>
      </c>
      <c r="F11" s="2" t="n">
        <v>277</v>
      </c>
      <c r="G11" s="2" t="n">
        <v>793</v>
      </c>
      <c r="H11" s="2" t="n">
        <f aca="false">IF(F11="","",F11-OffsetFo)</f>
        <v>233</v>
      </c>
      <c r="I11" s="2" t="n">
        <f aca="false">IF(G11="","",G11-OffsetFm)</f>
        <v>749</v>
      </c>
      <c r="J11" s="2" t="n">
        <v>213</v>
      </c>
      <c r="K11" s="2" t="n">
        <v>322</v>
      </c>
      <c r="L11" s="2" t="n">
        <v>654</v>
      </c>
      <c r="M11" s="2" t="n">
        <v>559</v>
      </c>
      <c r="N11" s="2" t="n">
        <v>738</v>
      </c>
      <c r="O11" s="2" t="n">
        <f aca="false">IF(J11="","",J11-Offset310)</f>
        <v>140</v>
      </c>
      <c r="P11" s="2" t="n">
        <f aca="false">IF(K11="","",K11-Offset365)</f>
        <v>277</v>
      </c>
      <c r="Q11" s="2" t="n">
        <f aca="false">IF(L11="","",L11-Offset450)</f>
        <v>630</v>
      </c>
      <c r="R11" s="2" t="n">
        <f aca="false">IF(M11="","",M11-Offset530)</f>
        <v>486</v>
      </c>
      <c r="S11" s="2" t="n">
        <f aca="false">IF(N11="","",N11-Offset615)</f>
        <v>620</v>
      </c>
      <c r="T11" s="3" t="n">
        <f aca="false">IF(OR(H11="",I11="",I11&lt;50,H11&lt;10,I11&lt;H11),"",1-H11/I11)</f>
        <v>0.688918558077437</v>
      </c>
      <c r="V11" s="3" t="n">
        <f aca="false">IF(O11="","",(O11/S11)/(Reference310*StandardF310/StandardF615))</f>
        <v>0.371208482947161</v>
      </c>
      <c r="W11" s="3" t="n">
        <f aca="false">IF(P11="","",(P11/S11)/(Reference365*StandardF365/StandardF615))</f>
        <v>0.372094495978311</v>
      </c>
      <c r="X11" s="3" t="n">
        <f aca="false">IF(Q11="","",(Q11/S11)/(Reference450*StandardF450/StandardF615))</f>
        <v>0.877019624805635</v>
      </c>
      <c r="Y11" s="3" t="n">
        <f aca="false">IF(R11="","",(R11/S11)/(Reference530*StandardF530/StandardF615))</f>
        <v>0.930712464905923</v>
      </c>
      <c r="Z11" s="3" t="n">
        <f aca="false">IF(OR(W11="",W11&lt;=0),"",LOG10(1/W11))</f>
        <v>0.429346754014818</v>
      </c>
      <c r="AA11" s="3" t="n">
        <f aca="false">IF(OR(Y11="",Y11&lt;=0),"",LOG10(1/Y11))</f>
        <v>0.0311844696010465</v>
      </c>
      <c r="AB11" s="2" t="n">
        <v>421</v>
      </c>
      <c r="AC11" s="2" t="n">
        <v>698</v>
      </c>
      <c r="AD11" s="3" t="n">
        <f aca="false">IF(OR(AB11="",AC11=""),"",((AB11-Offset700)/(AC11-Offset770))*((Reference770-Offset770)/(Reference700-Offset700)))</f>
        <v>0.702884733906505</v>
      </c>
      <c r="AE11" s="3" t="n">
        <f aca="false">IF(OR(AD11="",AD11&lt;=0),"",-LOG10(AD11))</f>
        <v>0.153115889109272</v>
      </c>
      <c r="AG11" s="6" t="n">
        <f aca="false">IF(AE11="","",CoeffNmolQ*AE11^2+CoeffNmolL*AE11+CoeffNmolC)</f>
        <v>36.049504092042</v>
      </c>
      <c r="AH11" s="6" t="n">
        <f aca="false">IF(AE11="","",CoeffUgQ*AE11^2+CoeffUgL*AE11+CoeffUgC)</f>
        <v>32.2662880681288</v>
      </c>
      <c r="AI11" s="7" t="n">
        <f aca="false">IF(OR(Z11="",AH11=""),"",AH11/Z11)</f>
        <v>75.1520484699301</v>
      </c>
      <c r="AO11" s="8" t="n">
        <v>354</v>
      </c>
      <c r="AP11" s="8" t="n">
        <v>17</v>
      </c>
      <c r="AT11" s="9" t="str">
        <f aca="false">IF(AS11="","",COS(RADIANS(AS11)) * 100)</f>
        <v/>
      </c>
    </row>
    <row r="12" customFormat="false" ht="15" hidden="false" customHeight="false" outlineLevel="0" collapsed="false">
      <c r="A12" s="4" t="n">
        <v>46147.6495138889</v>
      </c>
      <c r="B12" s="5" t="n">
        <v>46147.6495138889</v>
      </c>
      <c r="C12" s="0" t="s">
        <v>52</v>
      </c>
      <c r="D12" s="2" t="n">
        <v>8</v>
      </c>
      <c r="E12" s="0" t="s">
        <v>53</v>
      </c>
      <c r="F12" s="2" t="n">
        <v>310</v>
      </c>
      <c r="G12" s="2" t="n">
        <v>924</v>
      </c>
      <c r="H12" s="2" t="n">
        <f aca="false">IF(F12="","",F12-OffsetFo)</f>
        <v>266</v>
      </c>
      <c r="I12" s="2" t="n">
        <f aca="false">IF(G12="","",G12-OffsetFm)</f>
        <v>880</v>
      </c>
      <c r="J12" s="2" t="n">
        <v>180</v>
      </c>
      <c r="K12" s="2" t="n">
        <v>233</v>
      </c>
      <c r="L12" s="2" t="n">
        <v>733</v>
      </c>
      <c r="M12" s="2" t="n">
        <v>626</v>
      </c>
      <c r="N12" s="2" t="n">
        <v>812</v>
      </c>
      <c r="O12" s="2" t="n">
        <f aca="false">IF(J12="","",J12-Offset310)</f>
        <v>107</v>
      </c>
      <c r="P12" s="2" t="n">
        <f aca="false">IF(K12="","",K12-Offset365)</f>
        <v>188</v>
      </c>
      <c r="Q12" s="2" t="n">
        <f aca="false">IF(L12="","",L12-Offset450)</f>
        <v>709</v>
      </c>
      <c r="R12" s="2" t="n">
        <f aca="false">IF(M12="","",M12-Offset530)</f>
        <v>553</v>
      </c>
      <c r="S12" s="2" t="n">
        <f aca="false">IF(N12="","",N12-Offset615)</f>
        <v>694</v>
      </c>
      <c r="T12" s="3" t="n">
        <f aca="false">IF(OR(H12="",I12="",I12&lt;50,H12&lt;10,I12&lt;H12),"",1-H12/I12)</f>
        <v>0.697727272727273</v>
      </c>
      <c r="V12" s="3" t="n">
        <f aca="false">IF(O12="","",(O12/S12)/(Reference310*StandardF310/StandardF615))</f>
        <v>0.253457912296363</v>
      </c>
      <c r="W12" s="3" t="n">
        <f aca="false">IF(P12="","",(P12/S12)/(Reference365*StandardF365/StandardF615))</f>
        <v>0.225612701189317</v>
      </c>
      <c r="X12" s="3" t="n">
        <f aca="false">IF(Q12="","",(Q12/S12)/(Reference450*StandardF450/StandardF615))</f>
        <v>0.881753548950325</v>
      </c>
      <c r="Y12" s="3" t="n">
        <f aca="false">IF(R12="","",(R12/S12)/(Reference530*StandardF530/StandardF615))</f>
        <v>0.946099061081002</v>
      </c>
      <c r="Z12" s="3" t="n">
        <f aca="false">IF(OR(W12="",W12&lt;=0),"",LOG10(1/W12))</f>
        <v>0.646636454772188</v>
      </c>
      <c r="AA12" s="3" t="n">
        <f aca="false">IF(OR(Y12="",Y12&lt;=0),"",LOG10(1/Y12))</f>
        <v>0.0240633885152426</v>
      </c>
      <c r="AB12" s="2" t="n">
        <v>336</v>
      </c>
      <c r="AC12" s="2" t="n">
        <v>611</v>
      </c>
      <c r="AD12" s="3" t="n">
        <f aca="false">IF(OR(AB12="",AC12=""),"",((AB12-Offset700)/(AC12-Offset770))*((Reference770-Offset770)/(Reference700-Offset700)))</f>
        <v>0.640336859528872</v>
      </c>
      <c r="AE12" s="3" t="n">
        <f aca="false">IF(OR(AD12="",AD12&lt;=0),"",-LOG10(AD12))</f>
        <v>0.193591498286316</v>
      </c>
      <c r="AG12" s="6" t="n">
        <f aca="false">IF(AE12="","",CoeffNmolQ*AE12^2+CoeffNmolL*AE12+CoeffNmolC)</f>
        <v>48.6088043565187</v>
      </c>
      <c r="AH12" s="6" t="n">
        <f aca="false">IF(AE12="","",CoeffUgQ*AE12^2+CoeffUgL*AE12+CoeffUgC)</f>
        <v>43.5074296553664</v>
      </c>
      <c r="AI12" s="7" t="n">
        <f aca="false">IF(OR(Z12="",AH12=""),"",AH12/Z12)</f>
        <v>67.2826738026921</v>
      </c>
      <c r="AO12" s="8" t="n">
        <v>289</v>
      </c>
      <c r="AP12" s="8" t="n">
        <v>7</v>
      </c>
      <c r="AT12" s="9" t="str">
        <f aca="false">IF(AS12="","",COS(RADIANS(AS12)) * 100)</f>
        <v/>
      </c>
    </row>
    <row r="13" customFormat="false" ht="15" hidden="false" customHeight="false" outlineLevel="0" collapsed="false">
      <c r="A13" s="4" t="n">
        <v>46147.6497685185</v>
      </c>
      <c r="B13" s="5" t="n">
        <v>46147.6497685185</v>
      </c>
      <c r="C13" s="0" t="s">
        <v>52</v>
      </c>
      <c r="D13" s="2" t="n">
        <v>9</v>
      </c>
      <c r="E13" s="0" t="s">
        <v>53</v>
      </c>
      <c r="F13" s="2" t="n">
        <v>318</v>
      </c>
      <c r="G13" s="2" t="n">
        <v>724</v>
      </c>
      <c r="H13" s="2" t="n">
        <f aca="false">IF(F13="","",F13-OffsetFo)</f>
        <v>274</v>
      </c>
      <c r="I13" s="2" t="n">
        <f aca="false">IF(G13="","",G13-OffsetFm)</f>
        <v>680</v>
      </c>
      <c r="J13" s="2" t="n">
        <v>169</v>
      </c>
      <c r="K13" s="2" t="n">
        <v>245</v>
      </c>
      <c r="L13" s="2" t="n">
        <v>732</v>
      </c>
      <c r="M13" s="2" t="n">
        <v>649</v>
      </c>
      <c r="N13" s="2" t="n">
        <v>877</v>
      </c>
      <c r="O13" s="2" t="n">
        <f aca="false">IF(J13="","",J13-Offset310)</f>
        <v>96</v>
      </c>
      <c r="P13" s="2" t="n">
        <f aca="false">IF(K13="","",K13-Offset365)</f>
        <v>200</v>
      </c>
      <c r="Q13" s="2" t="n">
        <f aca="false">IF(L13="","",L13-Offset450)</f>
        <v>708</v>
      </c>
      <c r="R13" s="2" t="n">
        <f aca="false">IF(M13="","",M13-Offset530)</f>
        <v>576</v>
      </c>
      <c r="S13" s="2" t="n">
        <f aca="false">IF(N13="","",N13-Offset615)</f>
        <v>759</v>
      </c>
      <c r="T13" s="3" t="n">
        <f aca="false">IF(OR(H13="",I13="",I13&lt;50,H13&lt;10,I13&lt;H13),"",1-H13/I13)</f>
        <v>0.597058823529412</v>
      </c>
      <c r="V13" s="3" t="n">
        <f aca="false">IF(O13="","",(O13/S13)/(Reference310*StandardF310/StandardF615))</f>
        <v>0.207927055383164</v>
      </c>
      <c r="W13" s="3" t="n">
        <f aca="false">IF(P13="","",(P13/S13)/(Reference365*StandardF365/StandardF615))</f>
        <v>0.219458995073846</v>
      </c>
      <c r="X13" s="3" t="n">
        <f aca="false">IF(Q13="","",(Q13/S13)/(Reference450*StandardF450/StandardF615))</f>
        <v>0.805103905524566</v>
      </c>
      <c r="Y13" s="3" t="n">
        <f aca="false">IF(R13="","",(R13/S13)/(Reference530*StandardF530/StandardF615))</f>
        <v>0.901055741166911</v>
      </c>
      <c r="Z13" s="3" t="n">
        <f aca="false">IF(OR(W13="",W13&lt;=0),"",LOG10(1/W13))</f>
        <v>0.658646613812512</v>
      </c>
      <c r="AA13" s="3" t="n">
        <f aca="false">IF(OR(Y13="",Y13&lt;=0),"",LOG10(1/Y13))</f>
        <v>0.0452483418373544</v>
      </c>
      <c r="AB13" s="2" t="n">
        <v>395</v>
      </c>
      <c r="AC13" s="2" t="n">
        <v>643</v>
      </c>
      <c r="AD13" s="3" t="n">
        <f aca="false">IF(OR(AB13="",AC13=""),"",((AB13-Offset700)/(AC13-Offset770))*((Reference770-Offset770)/(Reference700-Offset700)))</f>
        <v>0.715836515498154</v>
      </c>
      <c r="AE13" s="3" t="n">
        <f aca="false">IF(OR(AD13="",AD13&lt;=0),"",-LOG10(AD13))</f>
        <v>0.145186151608396</v>
      </c>
      <c r="AG13" s="6" t="n">
        <f aca="false">IF(AE13="","",CoeffNmolQ*AE13^2+CoeffNmolL*AE13+CoeffNmolC)</f>
        <v>33.8057247184137</v>
      </c>
      <c r="AH13" s="6" t="n">
        <f aca="false">IF(AE13="","",CoeffUgQ*AE13^2+CoeffUgL*AE13+CoeffUgC)</f>
        <v>30.2579964356432</v>
      </c>
      <c r="AI13" s="7" t="n">
        <f aca="false">IF(OR(Z13="",AH13=""),"",AH13/Z13)</f>
        <v>45.9396523129417</v>
      </c>
      <c r="AO13" s="8" t="n">
        <v>328</v>
      </c>
      <c r="AP13" s="8" t="n">
        <v>21</v>
      </c>
      <c r="AT13" s="9" t="str">
        <f aca="false">IF(AS13="","",COS(RADIANS(AS13)) * 100)</f>
        <v/>
      </c>
    </row>
    <row r="14" customFormat="false" ht="15" hidden="false" customHeight="false" outlineLevel="0" collapsed="false">
      <c r="A14" s="4" t="n">
        <v>46147.65</v>
      </c>
      <c r="B14" s="5" t="n">
        <v>46147.65</v>
      </c>
      <c r="C14" s="0" t="s">
        <v>52</v>
      </c>
      <c r="D14" s="2" t="n">
        <v>10</v>
      </c>
      <c r="E14" s="0" t="s">
        <v>53</v>
      </c>
      <c r="F14" s="2" t="n">
        <v>381</v>
      </c>
      <c r="G14" s="2" t="n">
        <v>798</v>
      </c>
      <c r="H14" s="2" t="n">
        <f aca="false">IF(F14="","",F14-OffsetFo)</f>
        <v>337</v>
      </c>
      <c r="I14" s="2" t="n">
        <f aca="false">IF(G14="","",G14-OffsetFm)</f>
        <v>754</v>
      </c>
      <c r="J14" s="2" t="n">
        <v>197</v>
      </c>
      <c r="K14" s="2" t="n">
        <v>340</v>
      </c>
      <c r="L14" s="2" t="n">
        <v>984</v>
      </c>
      <c r="M14" s="2" t="n">
        <v>783</v>
      </c>
      <c r="N14" s="2" t="n">
        <v>1071</v>
      </c>
      <c r="O14" s="2" t="n">
        <f aca="false">IF(J14="","",J14-Offset310)</f>
        <v>124</v>
      </c>
      <c r="P14" s="2" t="n">
        <f aca="false">IF(K14="","",K14-Offset365)</f>
        <v>295</v>
      </c>
      <c r="Q14" s="2" t="n">
        <f aca="false">IF(L14="","",L14-Offset450)</f>
        <v>960</v>
      </c>
      <c r="R14" s="2" t="n">
        <f aca="false">IF(M14="","",M14-Offset530)</f>
        <v>710</v>
      </c>
      <c r="S14" s="2" t="n">
        <f aca="false">IF(N14="","",N14-Offset615)</f>
        <v>953</v>
      </c>
      <c r="T14" s="3" t="n">
        <f aca="false">IF(OR(H14="",I14="",I14&lt;50,H14&lt;10,I14&lt;H14),"",1-H14/I14)</f>
        <v>0.553050397877984</v>
      </c>
      <c r="V14" s="3" t="n">
        <f aca="false">IF(O14="","",(O14/S14)/(Reference310*StandardF310/StandardF615))</f>
        <v>0.213899776412665</v>
      </c>
      <c r="W14" s="3" t="n">
        <f aca="false">IF(P14="","",(P14/S14)/(Reference365*StandardF365/StandardF615))</f>
        <v>0.25780674864643</v>
      </c>
      <c r="X14" s="3" t="n">
        <f aca="false">IF(Q14="","",(Q14/S14)/(Reference450*StandardF450/StandardF615))</f>
        <v>0.869438332890811</v>
      </c>
      <c r="Y14" s="3" t="n">
        <f aca="false">IF(R14="","",(R14/S14)/(Reference530*StandardF530/StandardF615))</f>
        <v>0.884578539184441</v>
      </c>
      <c r="Z14" s="3" t="n">
        <f aca="false">IF(OR(W14="",W14&lt;=0),"",LOG10(1/W14))</f>
        <v>0.588705718241176</v>
      </c>
      <c r="AA14" s="3" t="n">
        <f aca="false">IF(OR(Y14="",Y14&lt;=0),"",LOG10(1/Y14))</f>
        <v>0.0532636012843371</v>
      </c>
      <c r="AB14" s="2" t="n">
        <v>388</v>
      </c>
      <c r="AC14" s="2" t="n">
        <v>596</v>
      </c>
      <c r="AD14" s="3" t="n">
        <f aca="false">IF(OR(AB14="",AC14=""),"",((AB14-Offset700)/(AC14-Offset770))*((Reference770-Offset770)/(Reference700-Offset700)))</f>
        <v>0.758717650138562</v>
      </c>
      <c r="AE14" s="3" t="n">
        <f aca="false">IF(OR(AD14="",AD14&lt;=0),"",-LOG10(AD14))</f>
        <v>0.119919812774444</v>
      </c>
      <c r="AG14" s="6" t="n">
        <f aca="false">IF(AE14="","",CoeffNmolQ*AE14^2+CoeffNmolL*AE14+CoeffNmolC)</f>
        <v>27.1300775968856</v>
      </c>
      <c r="AH14" s="6" t="n">
        <f aca="false">IF(AE14="","",CoeffUgQ*AE14^2+CoeffUgL*AE14+CoeffUgC)</f>
        <v>24.2829493739085</v>
      </c>
      <c r="AI14" s="7" t="n">
        <f aca="false">IF(OR(Z14="",AH14=""),"",AH14/Z14)</f>
        <v>41.2480270218141</v>
      </c>
      <c r="AO14" s="8" t="n">
        <v>24</v>
      </c>
      <c r="AP14" s="8" t="n">
        <v>12</v>
      </c>
      <c r="AT14" s="9" t="str">
        <f aca="false">IF(AS14="","",COS(RADIANS(AS14)) * 100)</f>
        <v/>
      </c>
    </row>
    <row r="15" customFormat="false" ht="15" hidden="false" customHeight="false" outlineLevel="0" collapsed="false">
      <c r="A15" s="4" t="n">
        <v>46147.6506944444</v>
      </c>
      <c r="B15" s="5" t="n">
        <v>46147.6506944444</v>
      </c>
      <c r="C15" s="0" t="s">
        <v>52</v>
      </c>
      <c r="D15" s="2" t="n">
        <v>11</v>
      </c>
      <c r="E15" s="0" t="s">
        <v>53</v>
      </c>
      <c r="F15" s="2" t="n">
        <v>320</v>
      </c>
      <c r="G15" s="2" t="n">
        <v>801</v>
      </c>
      <c r="H15" s="2" t="n">
        <f aca="false">IF(F15="","",F15-OffsetFo)</f>
        <v>276</v>
      </c>
      <c r="I15" s="2" t="n">
        <f aca="false">IF(G15="","",G15-OffsetFm)</f>
        <v>757</v>
      </c>
      <c r="J15" s="2" t="n">
        <v>154</v>
      </c>
      <c r="K15" s="2" t="n">
        <v>224</v>
      </c>
      <c r="L15" s="2" t="n">
        <v>792</v>
      </c>
      <c r="M15" s="2" t="n">
        <v>675</v>
      </c>
      <c r="N15" s="2" t="n">
        <v>930</v>
      </c>
      <c r="O15" s="2" t="n">
        <f aca="false">IF(J15="","",J15-Offset310)</f>
        <v>81</v>
      </c>
      <c r="P15" s="2" t="n">
        <f aca="false">IF(K15="","",K15-Offset365)</f>
        <v>179</v>
      </c>
      <c r="Q15" s="2" t="n">
        <f aca="false">IF(L15="","",L15-Offset450)</f>
        <v>768</v>
      </c>
      <c r="R15" s="2" t="n">
        <f aca="false">IF(M15="","",M15-Offset530)</f>
        <v>602</v>
      </c>
      <c r="S15" s="2" t="n">
        <f aca="false">IF(N15="","",N15-Offset615)</f>
        <v>812</v>
      </c>
      <c r="T15" s="3" t="n">
        <f aca="false">IF(OR(H15="",I15="",I15&lt;50,H15&lt;10,I15&lt;H15),"",1-H15/I15)</f>
        <v>0.635402906208719</v>
      </c>
      <c r="V15" s="3" t="n">
        <f aca="false">IF(O15="","",(O15/S15)/(Reference310*StandardF310/StandardF615))</f>
        <v>0.163987420950092</v>
      </c>
      <c r="W15" s="3" t="n">
        <f aca="false">IF(P15="","",(P15/S15)/(Reference365*StandardF365/StandardF615))</f>
        <v>0.183595557449063</v>
      </c>
      <c r="X15" s="3" t="n">
        <f aca="false">IF(Q15="","",(Q15/S15)/(Reference450*StandardF450/StandardF615))</f>
        <v>0.816329784477776</v>
      </c>
      <c r="Y15" s="3" t="n">
        <f aca="false">IF(R15="","",(R15/S15)/(Reference530*StandardF530/StandardF615))</f>
        <v>0.880260902312754</v>
      </c>
      <c r="Z15" s="3" t="n">
        <f aca="false">IF(OR(W15="",W15&lt;=0),"",LOG10(1/W15))</f>
        <v>0.736137831842295</v>
      </c>
      <c r="AA15" s="3" t="n">
        <f aca="false">IF(OR(Y15="",Y15&lt;=0),"",LOG10(1/Y15))</f>
        <v>0.0553885873484367</v>
      </c>
      <c r="AB15" s="2" t="n">
        <v>341</v>
      </c>
      <c r="AC15" s="2" t="n">
        <v>584</v>
      </c>
      <c r="AD15" s="3" t="n">
        <f aca="false">IF(OR(AB15="",AC15=""),"",((AB15-Offset700)/(AC15-Offset770))*((Reference770-Offset770)/(Reference700-Offset700)))</f>
        <v>0.680073795638595</v>
      </c>
      <c r="AE15" s="3" t="n">
        <f aca="false">IF(OR(AD15="",AD15&lt;=0),"",-LOG10(AD15))</f>
        <v>0.167443958911812</v>
      </c>
      <c r="AG15" s="6" t="n">
        <f aca="false">IF(AE15="","",CoeffNmolQ*AE15^2+CoeffNmolL*AE15+CoeffNmolC)</f>
        <v>40.2838357682312</v>
      </c>
      <c r="AH15" s="6" t="n">
        <f aca="false">IF(AE15="","",CoeffUgQ*AE15^2+CoeffUgL*AE15+CoeffUgC)</f>
        <v>36.0562138281709</v>
      </c>
      <c r="AI15" s="7" t="n">
        <f aca="false">IF(OR(Z15="",AH15=""),"",AH15/Z15)</f>
        <v>48.9802483563912</v>
      </c>
      <c r="AO15" s="8" t="n">
        <v>36</v>
      </c>
      <c r="AP15" s="8" t="n">
        <v>34</v>
      </c>
      <c r="AT15" s="9" t="str">
        <f aca="false">IF(AS15="","",COS(RADIANS(AS15)) * 100)</f>
        <v/>
      </c>
    </row>
    <row r="16" customFormat="false" ht="15" hidden="false" customHeight="false" outlineLevel="0" collapsed="false">
      <c r="A16" s="4" t="n">
        <v>46147.6508680556</v>
      </c>
      <c r="B16" s="5" t="n">
        <v>46147.6508680556</v>
      </c>
      <c r="C16" s="0" t="s">
        <v>52</v>
      </c>
      <c r="D16" s="2" t="n">
        <v>12</v>
      </c>
      <c r="E16" s="0" t="s">
        <v>53</v>
      </c>
      <c r="F16" s="2" t="n">
        <v>393</v>
      </c>
      <c r="G16" s="2" t="n">
        <v>1038</v>
      </c>
      <c r="H16" s="2" t="n">
        <f aca="false">IF(F16="","",F16-OffsetFo)</f>
        <v>349</v>
      </c>
      <c r="I16" s="2" t="n">
        <f aca="false">IF(G16="","",G16-OffsetFm)</f>
        <v>994</v>
      </c>
      <c r="J16" s="2" t="n">
        <v>205</v>
      </c>
      <c r="K16" s="2" t="n">
        <v>337</v>
      </c>
      <c r="L16" s="2" t="n">
        <v>930</v>
      </c>
      <c r="M16" s="2" t="n">
        <v>805</v>
      </c>
      <c r="N16" s="2" t="n">
        <v>1077</v>
      </c>
      <c r="O16" s="2" t="n">
        <f aca="false">IF(J16="","",J16-Offset310)</f>
        <v>132</v>
      </c>
      <c r="P16" s="2" t="n">
        <f aca="false">IF(K16="","",K16-Offset365)</f>
        <v>292</v>
      </c>
      <c r="Q16" s="2" t="n">
        <f aca="false">IF(L16="","",L16-Offset450)</f>
        <v>906</v>
      </c>
      <c r="R16" s="2" t="n">
        <f aca="false">IF(M16="","",M16-Offset530)</f>
        <v>732</v>
      </c>
      <c r="S16" s="2" t="n">
        <f aca="false">IF(N16="","",N16-Offset615)</f>
        <v>959</v>
      </c>
      <c r="T16" s="3" t="n">
        <f aca="false">IF(OR(H16="",I16="",I16&lt;50,H16&lt;10,I16&lt;H16),"",1-H16/I16)</f>
        <v>0.648893360160966</v>
      </c>
      <c r="V16" s="3" t="n">
        <f aca="false">IF(O16="","",(O16/S16)/(Reference310*StandardF310/StandardF615))</f>
        <v>0.226275154509129</v>
      </c>
      <c r="W16" s="3" t="n">
        <f aca="false">IF(P16="","",(P16/S16)/(Reference365*StandardF365/StandardF615))</f>
        <v>0.253588415851024</v>
      </c>
      <c r="X16" s="3" t="n">
        <f aca="false">IF(Q16="","",(Q16/S16)/(Reference450*StandardF450/StandardF615))</f>
        <v>0.815398751420662</v>
      </c>
      <c r="Y16" s="3" t="n">
        <f aca="false">IF(R16="","",(R16/S16)/(Reference530*StandardF530/StandardF615))</f>
        <v>0.906282146339217</v>
      </c>
      <c r="Z16" s="3" t="n">
        <f aca="false">IF(OR(W16="",W16&lt;=0),"",LOG10(1/W16))</f>
        <v>0.595870589303258</v>
      </c>
      <c r="AA16" s="3" t="n">
        <f aca="false">IF(OR(Y16="",Y16&lt;=0),"",LOG10(1/Y16))</f>
        <v>0.0427365754773577</v>
      </c>
      <c r="AB16" s="2" t="n">
        <v>335</v>
      </c>
      <c r="AC16" s="2" t="n">
        <v>592</v>
      </c>
      <c r="AD16" s="3" t="n">
        <f aca="false">IF(OR(AB16="",AC16=""),"",((AB16-Offset700)/(AC16-Offset770))*((Reference770-Offset770)/(Reference700-Offset700)))</f>
        <v>0.658978961239606</v>
      </c>
      <c r="AE16" s="3" t="n">
        <f aca="false">IF(OR(AD16="",AD16&lt;=0),"",-LOG10(AD16))</f>
        <v>0.18112845060083</v>
      </c>
      <c r="AG16" s="6" t="n">
        <f aca="false">IF(AE16="","",CoeffNmolQ*AE16^2+CoeffNmolL*AE16+CoeffNmolC)</f>
        <v>44.5444511615599</v>
      </c>
      <c r="AH16" s="6" t="n">
        <f aca="false">IF(AE16="","",CoeffUgQ*AE16^2+CoeffUgL*AE16+CoeffUgC)</f>
        <v>39.8696567344954</v>
      </c>
      <c r="AI16" s="7" t="n">
        <f aca="false">IF(OR(Z16="",AH16=""),"",AH16/Z16)</f>
        <v>66.9099254942492</v>
      </c>
      <c r="AO16" s="8" t="n">
        <v>9</v>
      </c>
      <c r="AP16" s="8" t="n">
        <v>30</v>
      </c>
      <c r="AT16" s="9" t="str">
        <f aca="false">IF(AS16="","",COS(RADIANS(AS16)) * 100)</f>
        <v/>
      </c>
    </row>
    <row r="17" customFormat="false" ht="15" hidden="false" customHeight="false" outlineLevel="0" collapsed="false">
      <c r="A17" s="4" t="n">
        <v>46147.6511805556</v>
      </c>
      <c r="B17" s="5" t="n">
        <v>46147.6511805556</v>
      </c>
      <c r="C17" s="0" t="s">
        <v>52</v>
      </c>
      <c r="D17" s="2" t="n">
        <v>13</v>
      </c>
      <c r="E17" s="0" t="s">
        <v>53</v>
      </c>
      <c r="F17" s="2" t="n">
        <v>338</v>
      </c>
      <c r="G17" s="2" t="n">
        <v>903</v>
      </c>
      <c r="H17" s="2" t="n">
        <f aca="false">IF(F17="","",F17-OffsetFo)</f>
        <v>294</v>
      </c>
      <c r="I17" s="2" t="n">
        <f aca="false">IF(G17="","",G17-OffsetFm)</f>
        <v>859</v>
      </c>
      <c r="J17" s="2" t="n">
        <v>152</v>
      </c>
      <c r="K17" s="2" t="n">
        <v>218</v>
      </c>
      <c r="L17" s="2" t="n">
        <v>911</v>
      </c>
      <c r="M17" s="2" t="n">
        <v>693</v>
      </c>
      <c r="N17" s="2" t="n">
        <v>921</v>
      </c>
      <c r="O17" s="2" t="n">
        <f aca="false">IF(J17="","",J17-Offset310)</f>
        <v>79</v>
      </c>
      <c r="P17" s="2" t="n">
        <f aca="false">IF(K17="","",K17-Offset365)</f>
        <v>173</v>
      </c>
      <c r="Q17" s="2" t="n">
        <f aca="false">IF(L17="","",L17-Offset450)</f>
        <v>887</v>
      </c>
      <c r="R17" s="2" t="n">
        <f aca="false">IF(M17="","",M17-Offset530)</f>
        <v>620</v>
      </c>
      <c r="S17" s="2" t="n">
        <f aca="false">IF(N17="","",N17-Offset615)</f>
        <v>803</v>
      </c>
      <c r="T17" s="3" t="n">
        <f aca="false">IF(OR(H17="",I17="",I17&lt;50,H17&lt;10,I17&lt;H17),"",1-H17/I17)</f>
        <v>0.657741559953434</v>
      </c>
      <c r="V17" s="3" t="n">
        <f aca="false">IF(O17="","",(O17/S17)/(Reference310*StandardF310/StandardF615))</f>
        <v>0.161730933061305</v>
      </c>
      <c r="W17" s="3" t="n">
        <f aca="false">IF(P17="","",(P17/S17)/(Reference365*StandardF365/StandardF615))</f>
        <v>0.179430275629897</v>
      </c>
      <c r="X17" s="3" t="n">
        <f aca="false">IF(Q17="","",(Q17/S17)/(Reference450*StandardF450/StandardF615))</f>
        <v>0.953385464163377</v>
      </c>
      <c r="Y17" s="3" t="n">
        <f aca="false">IF(R17="","",(R17/S17)/(Reference530*StandardF530/StandardF615))</f>
        <v>0.916741928441792</v>
      </c>
      <c r="Z17" s="3" t="n">
        <f aca="false">IF(OR(W17="",W17&lt;=0),"",LOG10(1/W17))</f>
        <v>0.746104275730898</v>
      </c>
      <c r="AA17" s="3" t="n">
        <f aca="false">IF(OR(Y17="",Y17&lt;=0),"",LOG10(1/Y17))</f>
        <v>0.0377529051455131</v>
      </c>
      <c r="AB17" s="2" t="n">
        <v>358</v>
      </c>
      <c r="AC17" s="2" t="n">
        <v>579</v>
      </c>
      <c r="AD17" s="3" t="n">
        <f aca="false">IF(OR(AB17="",AC17=""),"",((AB17-Offset700)/(AC17-Offset770))*((Reference770-Offset770)/(Reference700-Offset700)))</f>
        <v>0.720366506985843</v>
      </c>
      <c r="AE17" s="3" t="n">
        <f aca="false">IF(OR(AD17="",AD17&lt;=0),"",-LOG10(AD17))</f>
        <v>0.142446487647862</v>
      </c>
      <c r="AG17" s="6" t="n">
        <f aca="false">IF(AE17="","",CoeffNmolQ*AE17^2+CoeffNmolL*AE17+CoeffNmolC)</f>
        <v>33.0470231094568</v>
      </c>
      <c r="AH17" s="6" t="n">
        <f aca="false">IF(AE17="","",CoeffUgQ*AE17^2+CoeffUgL*AE17+CoeffUgC)</f>
        <v>29.5789209690386</v>
      </c>
      <c r="AI17" s="7" t="n">
        <f aca="false">IF(OR(Z17="",AH17=""),"",AH17/Z17)</f>
        <v>39.6444866102161</v>
      </c>
      <c r="AO17" s="8" t="n">
        <v>31</v>
      </c>
      <c r="AP17" s="8" t="n">
        <v>18</v>
      </c>
      <c r="AT17" s="9" t="str">
        <f aca="false">IF(AS17="","",COS(RADIANS(AS17)) * 100)</f>
        <v/>
      </c>
    </row>
    <row r="18" customFormat="false" ht="15" hidden="false" customHeight="false" outlineLevel="0" collapsed="false">
      <c r="A18" s="4" t="n">
        <v>46147.6513310185</v>
      </c>
      <c r="B18" s="5" t="n">
        <v>46147.6513310185</v>
      </c>
      <c r="C18" s="0" t="s">
        <v>52</v>
      </c>
      <c r="D18" s="2" t="n">
        <v>14</v>
      </c>
      <c r="E18" s="0" t="s">
        <v>53</v>
      </c>
      <c r="F18" s="2" t="n">
        <v>279</v>
      </c>
      <c r="G18" s="2" t="n">
        <v>794</v>
      </c>
      <c r="H18" s="2" t="n">
        <f aca="false">IF(F18="","",F18-OffsetFo)</f>
        <v>235</v>
      </c>
      <c r="I18" s="2" t="n">
        <f aca="false">IF(G18="","",G18-OffsetFm)</f>
        <v>750</v>
      </c>
      <c r="J18" s="2" t="n">
        <v>125</v>
      </c>
      <c r="K18" s="2" t="n">
        <v>155</v>
      </c>
      <c r="L18" s="2" t="n">
        <v>683</v>
      </c>
      <c r="M18" s="2" t="n">
        <v>576</v>
      </c>
      <c r="N18" s="2" t="n">
        <v>790</v>
      </c>
      <c r="O18" s="2" t="n">
        <f aca="false">IF(J18="","",J18-Offset310)</f>
        <v>52</v>
      </c>
      <c r="P18" s="2" t="n">
        <f aca="false">IF(K18="","",K18-Offset365)</f>
        <v>110</v>
      </c>
      <c r="Q18" s="2" t="n">
        <f aca="false">IF(L18="","",L18-Offset450)</f>
        <v>659</v>
      </c>
      <c r="R18" s="2" t="n">
        <f aca="false">IF(M18="","",M18-Offset530)</f>
        <v>503</v>
      </c>
      <c r="S18" s="2" t="n">
        <f aca="false">IF(N18="","",N18-Offset615)</f>
        <v>672</v>
      </c>
      <c r="T18" s="3" t="n">
        <f aca="false">IF(OR(H18="",I18="",I18&lt;50,H18&lt;10,I18&lt;H18),"",1-H18/I18)</f>
        <v>0.686666666666667</v>
      </c>
      <c r="V18" s="3" t="n">
        <f aca="false">IF(O18="","",(O18/S18)/(Reference310*StandardF310/StandardF615))</f>
        <v>0.127208349173219</v>
      </c>
      <c r="W18" s="3" t="n">
        <f aca="false">IF(P18="","",(P18/S18)/(Reference365*StandardF365/StandardF615))</f>
        <v>0.136329103413061</v>
      </c>
      <c r="X18" s="3" t="n">
        <f aca="false">IF(Q18="","",(Q18/S18)/(Reference450*StandardF450/StandardF615))</f>
        <v>0.846401828947199</v>
      </c>
      <c r="Y18" s="3" t="n">
        <f aca="false">IF(R18="","",(R18/S18)/(Reference530*StandardF530/StandardF615))</f>
        <v>0.888729636076699</v>
      </c>
      <c r="Z18" s="3" t="n">
        <f aca="false">IF(OR(W18="",W18&lt;=0),"",LOG10(1/W18))</f>
        <v>0.865411421476613</v>
      </c>
      <c r="AA18" s="3" t="n">
        <f aca="false">IF(OR(Y18="",Y18&lt;=0),"",LOG10(1/Y18))</f>
        <v>0.0512303373629839</v>
      </c>
      <c r="AB18" s="2" t="n">
        <v>421</v>
      </c>
      <c r="AC18" s="2" t="n">
        <v>681</v>
      </c>
      <c r="AD18" s="3" t="n">
        <f aca="false">IF(OR(AB18="",AC18=""),"",((AB18-Offset700)/(AC18-Offset770))*((Reference770-Offset770)/(Reference700-Offset700)))</f>
        <v>0.720482731662633</v>
      </c>
      <c r="AE18" s="3" t="n">
        <f aca="false">IF(OR(AD18="",AD18&lt;=0),"",-LOG10(AD18))</f>
        <v>0.142376423779212</v>
      </c>
      <c r="AG18" s="6" t="n">
        <f aca="false">IF(AE18="","",CoeffNmolQ*AE18^2+CoeffNmolL*AE18+CoeffNmolC)</f>
        <v>33.0277313278905</v>
      </c>
      <c r="AH18" s="6" t="n">
        <f aca="false">IF(AE18="","",CoeffUgQ*AE18^2+CoeffUgL*AE18+CoeffUgC)</f>
        <v>29.561653865942</v>
      </c>
      <c r="AI18" s="7" t="n">
        <f aca="false">IF(OR(Z18="",AH18=""),"",AH18/Z18)</f>
        <v>34.1590752471261</v>
      </c>
      <c r="AO18" s="8" t="n">
        <v>303</v>
      </c>
      <c r="AP18" s="8" t="n">
        <v>7</v>
      </c>
      <c r="AT18" s="9" t="str">
        <f aca="false">IF(AS18="","",COS(RADIANS(AS18)) * 100)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D1" s="10" t="n">
        <v>0</v>
      </c>
      <c r="E1" s="10" t="n">
        <v>50</v>
      </c>
      <c r="F1" s="10" t="n">
        <v>100</v>
      </c>
      <c r="G1" s="10" t="n">
        <v>150</v>
      </c>
      <c r="H1" s="10" t="n">
        <v>200</v>
      </c>
      <c r="I1" s="10" t="n">
        <v>250</v>
      </c>
      <c r="J1" s="10" t="n">
        <v>300</v>
      </c>
      <c r="K1" s="10" t="n">
        <v>350</v>
      </c>
      <c r="L1" s="10" t="n">
        <v>400</v>
      </c>
      <c r="M1" s="10" t="n">
        <v>450</v>
      </c>
      <c r="N1" s="10" t="n">
        <v>500</v>
      </c>
      <c r="O1" s="10" t="n">
        <v>550</v>
      </c>
      <c r="P1" s="10" t="n">
        <v>600</v>
      </c>
      <c r="Q1" s="10" t="n">
        <v>650</v>
      </c>
      <c r="R1" s="10" t="n">
        <v>700</v>
      </c>
      <c r="S1" s="10" t="n">
        <v>750</v>
      </c>
      <c r="T1" s="10" t="n">
        <v>800</v>
      </c>
      <c r="U1" s="10" t="n">
        <v>850</v>
      </c>
      <c r="V1" s="10" t="n">
        <v>900</v>
      </c>
      <c r="W1" s="10" t="n">
        <v>950</v>
      </c>
      <c r="X1" s="10" t="n">
        <v>1000</v>
      </c>
      <c r="Y1" s="10" t="n">
        <v>1050</v>
      </c>
      <c r="Z1" s="10" t="n">
        <v>1100</v>
      </c>
      <c r="AA1" s="10" t="n">
        <v>1150</v>
      </c>
      <c r="AB1" s="10" t="n">
        <v>1200</v>
      </c>
      <c r="AC1" s="10" t="n">
        <v>1250</v>
      </c>
      <c r="AD1" s="10" t="n">
        <v>1300</v>
      </c>
      <c r="AE1" s="10" t="n">
        <v>1350</v>
      </c>
      <c r="AF1" s="10" t="n">
        <v>1400</v>
      </c>
      <c r="AG1" s="10" t="n">
        <v>1450</v>
      </c>
      <c r="AH1" s="10" t="n">
        <v>1500</v>
      </c>
      <c r="AI1" s="10" t="n">
        <v>1550</v>
      </c>
      <c r="AJ1" s="10" t="n">
        <v>1600</v>
      </c>
      <c r="AK1" s="10" t="n">
        <v>1650</v>
      </c>
      <c r="AL1" s="10" t="n">
        <v>1700</v>
      </c>
      <c r="AM1" s="10" t="n">
        <v>1750</v>
      </c>
      <c r="AN1" s="10" t="n">
        <v>1800</v>
      </c>
      <c r="AO1" s="10" t="n">
        <v>1850</v>
      </c>
      <c r="AP1" s="10" t="n">
        <v>1900</v>
      </c>
      <c r="AQ1" s="10" t="n">
        <v>1950</v>
      </c>
      <c r="AR1" s="10" t="n">
        <v>2000</v>
      </c>
      <c r="AS1" s="10" t="n">
        <v>2050</v>
      </c>
      <c r="AT1" s="10" t="n">
        <v>2100</v>
      </c>
      <c r="AU1" s="10" t="n">
        <v>2150</v>
      </c>
      <c r="AV1" s="10" t="n">
        <v>2200</v>
      </c>
      <c r="AW1" s="10" t="n">
        <v>2250</v>
      </c>
      <c r="AX1" s="10" t="n">
        <v>2300</v>
      </c>
      <c r="AY1" s="10" t="n">
        <v>2350</v>
      </c>
      <c r="AZ1" s="10" t="n">
        <v>2400</v>
      </c>
      <c r="BA1" s="10" t="n">
        <v>2450</v>
      </c>
    </row>
    <row r="5" customFormat="false" ht="15" hidden="false" customHeight="false" outlineLevel="0" collapsed="false">
      <c r="A5" s="4" t="n">
        <v>46147.6475</v>
      </c>
      <c r="B5" s="5" t="n">
        <v>46147.6475</v>
      </c>
      <c r="D5" s="2" t="n">
        <v>294</v>
      </c>
      <c r="E5" s="2" t="n">
        <v>294</v>
      </c>
      <c r="F5" s="2" t="n">
        <v>294</v>
      </c>
      <c r="G5" s="2" t="n">
        <v>294</v>
      </c>
      <c r="H5" s="2" t="n">
        <v>539</v>
      </c>
      <c r="I5" s="2" t="n">
        <v>801</v>
      </c>
      <c r="J5" s="2" t="n">
        <v>868</v>
      </c>
      <c r="K5" s="2" t="n">
        <v>874</v>
      </c>
      <c r="L5" s="2" t="n">
        <v>870</v>
      </c>
      <c r="M5" s="2" t="n">
        <v>872</v>
      </c>
      <c r="N5" s="2" t="n">
        <v>865</v>
      </c>
      <c r="O5" s="2" t="n">
        <v>864</v>
      </c>
      <c r="P5" s="2" t="n">
        <v>862</v>
      </c>
      <c r="Q5" s="2" t="n">
        <v>854</v>
      </c>
      <c r="R5" s="2" t="n">
        <v>854</v>
      </c>
      <c r="S5" s="2" t="n">
        <v>850</v>
      </c>
      <c r="T5" s="2" t="n">
        <v>520</v>
      </c>
      <c r="U5" s="2" t="n">
        <v>394</v>
      </c>
      <c r="V5" s="2" t="n">
        <v>388</v>
      </c>
      <c r="W5" s="2" t="n">
        <v>382</v>
      </c>
      <c r="X5" s="2" t="n">
        <v>388</v>
      </c>
      <c r="Y5" s="2" t="n">
        <v>379</v>
      </c>
      <c r="Z5" s="2" t="n">
        <v>374</v>
      </c>
      <c r="AA5" s="2" t="n">
        <v>374</v>
      </c>
      <c r="AB5" s="2" t="n">
        <v>378</v>
      </c>
      <c r="AC5" s="2" t="n">
        <v>368</v>
      </c>
      <c r="AD5" s="2" t="n">
        <v>362</v>
      </c>
      <c r="AE5" s="2" t="n">
        <v>362</v>
      </c>
      <c r="AF5" s="2" t="n">
        <v>366</v>
      </c>
      <c r="AG5" s="2" t="n">
        <v>364</v>
      </c>
      <c r="AH5" s="2" t="n">
        <v>360</v>
      </c>
      <c r="AI5" s="2" t="n">
        <v>356</v>
      </c>
      <c r="AJ5" s="2" t="n">
        <v>354</v>
      </c>
      <c r="AK5" s="2" t="n">
        <v>356</v>
      </c>
      <c r="AL5" s="2" t="n">
        <v>358</v>
      </c>
      <c r="AM5" s="2" t="n">
        <v>358</v>
      </c>
      <c r="AN5" s="2" t="n">
        <v>352</v>
      </c>
      <c r="AO5" s="2" t="n">
        <v>358</v>
      </c>
      <c r="AP5" s="2" t="n">
        <v>358</v>
      </c>
      <c r="AQ5" s="2" t="n">
        <v>354</v>
      </c>
      <c r="AR5" s="2" t="n">
        <v>364</v>
      </c>
      <c r="AS5" s="2" t="n">
        <v>360</v>
      </c>
      <c r="AT5" s="2" t="n">
        <v>357</v>
      </c>
      <c r="AU5" s="2" t="n">
        <v>356</v>
      </c>
      <c r="AV5" s="2" t="n">
        <v>356</v>
      </c>
      <c r="AW5" s="2" t="n">
        <v>352</v>
      </c>
      <c r="AX5" s="2" t="n">
        <v>350</v>
      </c>
      <c r="AY5" s="2" t="n">
        <v>352</v>
      </c>
      <c r="AZ5" s="2" t="n">
        <v>348</v>
      </c>
      <c r="BA5" s="2" t="n">
        <v>350</v>
      </c>
    </row>
    <row r="6" customFormat="false" ht="15" hidden="false" customHeight="false" outlineLevel="0" collapsed="false">
      <c r="A6" s="4" t="n">
        <v>46147.6476851852</v>
      </c>
      <c r="B6" s="5" t="n">
        <v>46147.6476851852</v>
      </c>
      <c r="D6" s="2" t="n">
        <v>391</v>
      </c>
      <c r="E6" s="2" t="n">
        <v>391</v>
      </c>
      <c r="F6" s="2" t="n">
        <v>391</v>
      </c>
      <c r="G6" s="2" t="n">
        <v>391</v>
      </c>
      <c r="H6" s="2" t="n">
        <v>594</v>
      </c>
      <c r="I6" s="2" t="n">
        <v>708</v>
      </c>
      <c r="J6" s="2" t="n">
        <v>761</v>
      </c>
      <c r="K6" s="2" t="n">
        <v>784</v>
      </c>
      <c r="L6" s="2" t="n">
        <v>779</v>
      </c>
      <c r="M6" s="2" t="n">
        <v>776</v>
      </c>
      <c r="N6" s="2" t="n">
        <v>771</v>
      </c>
      <c r="O6" s="2" t="n">
        <v>762</v>
      </c>
      <c r="P6" s="2" t="n">
        <v>759</v>
      </c>
      <c r="Q6" s="2" t="n">
        <v>749</v>
      </c>
      <c r="R6" s="2" t="n">
        <v>750</v>
      </c>
      <c r="S6" s="2" t="n">
        <v>740</v>
      </c>
      <c r="T6" s="2" t="n">
        <v>531</v>
      </c>
      <c r="U6" s="2" t="n">
        <v>458</v>
      </c>
      <c r="V6" s="2" t="n">
        <v>452</v>
      </c>
      <c r="W6" s="2" t="n">
        <v>450</v>
      </c>
      <c r="X6" s="2" t="n">
        <v>444</v>
      </c>
      <c r="Y6" s="2" t="n">
        <v>444</v>
      </c>
      <c r="Z6" s="2" t="n">
        <v>444</v>
      </c>
      <c r="AA6" s="2" t="n">
        <v>443</v>
      </c>
      <c r="AB6" s="2" t="n">
        <v>440</v>
      </c>
      <c r="AC6" s="2" t="n">
        <v>441</v>
      </c>
      <c r="AD6" s="2" t="n">
        <v>443</v>
      </c>
      <c r="AE6" s="2" t="n">
        <v>443</v>
      </c>
      <c r="AF6" s="2" t="n">
        <v>442</v>
      </c>
      <c r="AG6" s="2" t="n">
        <v>434</v>
      </c>
      <c r="AH6" s="2" t="n">
        <v>433</v>
      </c>
      <c r="AI6" s="2" t="n">
        <v>434</v>
      </c>
      <c r="AJ6" s="2" t="n">
        <v>436</v>
      </c>
      <c r="AK6" s="2" t="n">
        <v>437</v>
      </c>
      <c r="AL6" s="2" t="n">
        <v>434</v>
      </c>
      <c r="AM6" s="2" t="n">
        <v>432</v>
      </c>
      <c r="AN6" s="2" t="n">
        <v>432</v>
      </c>
      <c r="AO6" s="2" t="n">
        <v>438</v>
      </c>
      <c r="AP6" s="2" t="n">
        <v>443</v>
      </c>
      <c r="AQ6" s="2" t="n">
        <v>442</v>
      </c>
      <c r="AR6" s="2" t="n">
        <v>428</v>
      </c>
      <c r="AS6" s="2" t="n">
        <v>434</v>
      </c>
      <c r="AT6" s="2" t="n">
        <v>433</v>
      </c>
      <c r="AU6" s="2" t="n">
        <v>433</v>
      </c>
      <c r="AV6" s="2" t="n">
        <v>440</v>
      </c>
      <c r="AW6" s="2" t="n">
        <v>435</v>
      </c>
      <c r="AX6" s="2" t="n">
        <v>432</v>
      </c>
      <c r="AY6" s="2" t="n">
        <v>431</v>
      </c>
      <c r="AZ6" s="2" t="n">
        <v>430</v>
      </c>
      <c r="BA6" s="2" t="n">
        <v>433</v>
      </c>
    </row>
    <row r="7" customFormat="false" ht="15" hidden="false" customHeight="false" outlineLevel="0" collapsed="false">
      <c r="A7" s="4" t="n">
        <v>46147.6479398148</v>
      </c>
      <c r="B7" s="5" t="n">
        <v>46147.6479398148</v>
      </c>
      <c r="D7" s="2" t="n">
        <v>318</v>
      </c>
      <c r="E7" s="2" t="n">
        <v>318</v>
      </c>
      <c r="F7" s="2" t="n">
        <v>318</v>
      </c>
      <c r="G7" s="2" t="n">
        <v>318</v>
      </c>
      <c r="H7" s="2" t="n">
        <v>633</v>
      </c>
      <c r="I7" s="2" t="n">
        <v>790</v>
      </c>
      <c r="J7" s="2" t="n">
        <v>852</v>
      </c>
      <c r="K7" s="2" t="n">
        <v>850</v>
      </c>
      <c r="L7" s="2" t="n">
        <v>847</v>
      </c>
      <c r="M7" s="2" t="n">
        <v>845</v>
      </c>
      <c r="N7" s="2" t="n">
        <v>836</v>
      </c>
      <c r="O7" s="2" t="n">
        <v>833</v>
      </c>
      <c r="P7" s="2" t="n">
        <v>830</v>
      </c>
      <c r="Q7" s="2" t="n">
        <v>829</v>
      </c>
      <c r="R7" s="2" t="n">
        <v>816</v>
      </c>
      <c r="S7" s="2" t="n">
        <v>814</v>
      </c>
      <c r="T7" s="2" t="n">
        <v>541</v>
      </c>
      <c r="U7" s="2" t="n">
        <v>440</v>
      </c>
      <c r="V7" s="2" t="n">
        <v>431</v>
      </c>
      <c r="W7" s="2" t="n">
        <v>424</v>
      </c>
      <c r="X7" s="2" t="n">
        <v>419</v>
      </c>
      <c r="Y7" s="2" t="n">
        <v>416</v>
      </c>
      <c r="Z7" s="2" t="n">
        <v>417</v>
      </c>
      <c r="AA7" s="2" t="n">
        <v>412</v>
      </c>
      <c r="AB7" s="2" t="n">
        <v>407</v>
      </c>
      <c r="AC7" s="2" t="n">
        <v>404</v>
      </c>
      <c r="AD7" s="2" t="n">
        <v>402</v>
      </c>
      <c r="AE7" s="2" t="n">
        <v>398</v>
      </c>
      <c r="AF7" s="2" t="n">
        <v>396</v>
      </c>
      <c r="AG7" s="2" t="n">
        <v>400</v>
      </c>
      <c r="AH7" s="2" t="n">
        <v>398</v>
      </c>
      <c r="AI7" s="2" t="n">
        <v>401</v>
      </c>
      <c r="AJ7" s="2" t="n">
        <v>403</v>
      </c>
      <c r="AK7" s="2" t="n">
        <v>400</v>
      </c>
      <c r="AL7" s="2" t="n">
        <v>392</v>
      </c>
      <c r="AM7" s="2" t="n">
        <v>388</v>
      </c>
      <c r="AN7" s="2" t="n">
        <v>387</v>
      </c>
      <c r="AO7" s="2" t="n">
        <v>386</v>
      </c>
      <c r="AP7" s="2" t="n">
        <v>389</v>
      </c>
      <c r="AQ7" s="2" t="n">
        <v>391</v>
      </c>
      <c r="AR7" s="2" t="n">
        <v>390</v>
      </c>
      <c r="AS7" s="2" t="n">
        <v>384</v>
      </c>
      <c r="AT7" s="2" t="n">
        <v>382</v>
      </c>
      <c r="AU7" s="2" t="n">
        <v>383</v>
      </c>
      <c r="AV7" s="2" t="n">
        <v>382</v>
      </c>
      <c r="AW7" s="2" t="n">
        <v>378</v>
      </c>
      <c r="AX7" s="2" t="n">
        <v>379</v>
      </c>
      <c r="AY7" s="2" t="n">
        <v>388</v>
      </c>
      <c r="AZ7" s="2" t="n">
        <v>392</v>
      </c>
      <c r="BA7" s="2" t="n">
        <v>384</v>
      </c>
    </row>
    <row r="8" customFormat="false" ht="15" hidden="false" customHeight="false" outlineLevel="0" collapsed="false">
      <c r="A8" s="4" t="n">
        <v>46147.648287037</v>
      </c>
      <c r="B8" s="5" t="n">
        <v>46147.648287037</v>
      </c>
      <c r="D8" s="2" t="n">
        <v>307</v>
      </c>
      <c r="E8" s="2" t="n">
        <v>307</v>
      </c>
      <c r="F8" s="2" t="n">
        <v>307</v>
      </c>
      <c r="G8" s="2" t="n">
        <v>307</v>
      </c>
      <c r="H8" s="2" t="n">
        <v>640</v>
      </c>
      <c r="I8" s="2" t="n">
        <v>853</v>
      </c>
      <c r="J8" s="2" t="n">
        <v>917</v>
      </c>
      <c r="K8" s="2" t="n">
        <v>912</v>
      </c>
      <c r="L8" s="2" t="n">
        <v>903</v>
      </c>
      <c r="M8" s="2" t="n">
        <v>906</v>
      </c>
      <c r="N8" s="2" t="n">
        <v>903</v>
      </c>
      <c r="O8" s="2" t="n">
        <v>893</v>
      </c>
      <c r="P8" s="2" t="n">
        <v>888</v>
      </c>
      <c r="Q8" s="2" t="n">
        <v>888</v>
      </c>
      <c r="R8" s="2" t="n">
        <v>883</v>
      </c>
      <c r="S8" s="2" t="n">
        <v>878</v>
      </c>
      <c r="T8" s="2" t="n">
        <v>562</v>
      </c>
      <c r="U8" s="2" t="n">
        <v>446</v>
      </c>
      <c r="V8" s="2" t="n">
        <v>428</v>
      </c>
      <c r="W8" s="2" t="n">
        <v>425</v>
      </c>
      <c r="X8" s="2" t="n">
        <v>417</v>
      </c>
      <c r="Y8" s="2" t="n">
        <v>417</v>
      </c>
      <c r="Z8" s="2" t="n">
        <v>416</v>
      </c>
      <c r="AA8" s="2" t="n">
        <v>410</v>
      </c>
      <c r="AB8" s="2" t="n">
        <v>406</v>
      </c>
      <c r="AC8" s="2" t="n">
        <v>405</v>
      </c>
      <c r="AD8" s="2" t="n">
        <v>404</v>
      </c>
      <c r="AE8" s="2" t="n">
        <v>402</v>
      </c>
      <c r="AF8" s="2" t="n">
        <v>400</v>
      </c>
      <c r="AG8" s="2" t="n">
        <v>402</v>
      </c>
      <c r="AH8" s="2" t="n">
        <v>406</v>
      </c>
      <c r="AI8" s="2" t="n">
        <v>394</v>
      </c>
      <c r="AJ8" s="2" t="n">
        <v>397</v>
      </c>
      <c r="AK8" s="2" t="n">
        <v>398</v>
      </c>
      <c r="AL8" s="2" t="n">
        <v>400</v>
      </c>
      <c r="AM8" s="2" t="n">
        <v>398</v>
      </c>
      <c r="AN8" s="2" t="n">
        <v>399</v>
      </c>
      <c r="AO8" s="2" t="n">
        <v>398</v>
      </c>
      <c r="AP8" s="2" t="n">
        <v>396</v>
      </c>
      <c r="AQ8" s="2" t="n">
        <v>390</v>
      </c>
      <c r="AR8" s="2" t="n">
        <v>390</v>
      </c>
      <c r="AS8" s="2" t="n">
        <v>391</v>
      </c>
      <c r="AT8" s="2" t="n">
        <v>394</v>
      </c>
      <c r="AU8" s="2" t="n">
        <v>396</v>
      </c>
      <c r="AV8" s="2" t="n">
        <v>394</v>
      </c>
      <c r="AW8" s="2" t="n">
        <v>392</v>
      </c>
      <c r="AX8" s="2" t="n">
        <v>390</v>
      </c>
      <c r="AY8" s="2" t="n">
        <v>396</v>
      </c>
      <c r="AZ8" s="2" t="n">
        <v>392</v>
      </c>
      <c r="BA8" s="2" t="n">
        <v>393</v>
      </c>
    </row>
    <row r="9" customFormat="false" ht="15" hidden="false" customHeight="false" outlineLevel="0" collapsed="false">
      <c r="A9" s="4" t="n">
        <v>46147.6485532407</v>
      </c>
      <c r="B9" s="5" t="n">
        <v>46147.6485532407</v>
      </c>
      <c r="D9" s="2" t="n">
        <v>269</v>
      </c>
      <c r="E9" s="2" t="n">
        <v>269</v>
      </c>
      <c r="F9" s="2" t="n">
        <v>269</v>
      </c>
      <c r="G9" s="2" t="n">
        <v>269</v>
      </c>
      <c r="H9" s="2" t="n">
        <v>564</v>
      </c>
      <c r="I9" s="2" t="n">
        <v>773</v>
      </c>
      <c r="J9" s="2" t="n">
        <v>824</v>
      </c>
      <c r="K9" s="2" t="n">
        <v>822</v>
      </c>
      <c r="L9" s="2" t="n">
        <v>823</v>
      </c>
      <c r="M9" s="2" t="n">
        <v>819</v>
      </c>
      <c r="N9" s="2" t="n">
        <v>816</v>
      </c>
      <c r="O9" s="2" t="n">
        <v>812</v>
      </c>
      <c r="P9" s="2" t="n">
        <v>811</v>
      </c>
      <c r="Q9" s="2" t="n">
        <v>808</v>
      </c>
      <c r="R9" s="2" t="n">
        <v>806</v>
      </c>
      <c r="S9" s="2" t="n">
        <v>804</v>
      </c>
      <c r="T9" s="2" t="n">
        <v>496</v>
      </c>
      <c r="U9" s="2" t="n">
        <v>380</v>
      </c>
      <c r="V9" s="2" t="n">
        <v>372</v>
      </c>
      <c r="W9" s="2" t="n">
        <v>363</v>
      </c>
      <c r="X9" s="2" t="n">
        <v>364</v>
      </c>
      <c r="Y9" s="2" t="n">
        <v>360</v>
      </c>
      <c r="Z9" s="2" t="n">
        <v>358</v>
      </c>
      <c r="AA9" s="2" t="n">
        <v>356</v>
      </c>
      <c r="AB9" s="2" t="n">
        <v>350</v>
      </c>
      <c r="AC9" s="2" t="n">
        <v>347</v>
      </c>
      <c r="AD9" s="2" t="n">
        <v>350</v>
      </c>
      <c r="AE9" s="2" t="n">
        <v>348</v>
      </c>
      <c r="AF9" s="2" t="n">
        <v>349</v>
      </c>
      <c r="AG9" s="2" t="n">
        <v>346</v>
      </c>
      <c r="AH9" s="2" t="n">
        <v>342</v>
      </c>
      <c r="AI9" s="2" t="n">
        <v>352</v>
      </c>
      <c r="AJ9" s="2" t="n">
        <v>349</v>
      </c>
      <c r="AK9" s="2" t="n">
        <v>345</v>
      </c>
      <c r="AL9" s="2" t="n">
        <v>342</v>
      </c>
      <c r="AM9" s="2" t="n">
        <v>346</v>
      </c>
      <c r="AN9" s="2" t="n">
        <v>343</v>
      </c>
      <c r="AO9" s="2" t="n">
        <v>338</v>
      </c>
      <c r="AP9" s="2" t="n">
        <v>334</v>
      </c>
      <c r="AQ9" s="2" t="n">
        <v>340</v>
      </c>
      <c r="AR9" s="2" t="n">
        <v>342</v>
      </c>
      <c r="AS9" s="2" t="n">
        <v>338</v>
      </c>
      <c r="AT9" s="2" t="n">
        <v>330</v>
      </c>
      <c r="AU9" s="2" t="n">
        <v>340</v>
      </c>
      <c r="AV9" s="2" t="n">
        <v>337</v>
      </c>
      <c r="AW9" s="2" t="n">
        <v>329</v>
      </c>
      <c r="AX9" s="2" t="n">
        <v>320</v>
      </c>
      <c r="AY9" s="2" t="n">
        <v>338</v>
      </c>
      <c r="AZ9" s="2" t="n">
        <v>338</v>
      </c>
      <c r="BA9" s="2" t="n">
        <v>335</v>
      </c>
    </row>
    <row r="10" customFormat="false" ht="15" hidden="false" customHeight="false" outlineLevel="0" collapsed="false">
      <c r="A10" s="4" t="n">
        <v>46147.6491203704</v>
      </c>
      <c r="B10" s="5" t="n">
        <v>46147.6491203704</v>
      </c>
      <c r="D10" s="2" t="n">
        <v>264</v>
      </c>
      <c r="E10" s="2" t="n">
        <v>264</v>
      </c>
      <c r="F10" s="2" t="n">
        <v>264</v>
      </c>
      <c r="G10" s="2" t="n">
        <v>264</v>
      </c>
      <c r="H10" s="2" t="n">
        <v>512</v>
      </c>
      <c r="I10" s="2" t="n">
        <v>647</v>
      </c>
      <c r="J10" s="2" t="n">
        <v>690</v>
      </c>
      <c r="K10" s="2" t="n">
        <v>691</v>
      </c>
      <c r="L10" s="2" t="n">
        <v>689</v>
      </c>
      <c r="M10" s="2" t="n">
        <v>685</v>
      </c>
      <c r="N10" s="2" t="n">
        <v>684</v>
      </c>
      <c r="O10" s="2" t="n">
        <v>675</v>
      </c>
      <c r="P10" s="2" t="n">
        <v>668</v>
      </c>
      <c r="Q10" s="2" t="n">
        <v>669</v>
      </c>
      <c r="R10" s="2" t="n">
        <v>663</v>
      </c>
      <c r="S10" s="2" t="n">
        <v>662</v>
      </c>
      <c r="T10" s="2" t="n">
        <v>419</v>
      </c>
      <c r="U10" s="2" t="n">
        <v>337</v>
      </c>
      <c r="V10" s="2" t="n">
        <v>327</v>
      </c>
      <c r="W10" s="2" t="n">
        <v>324</v>
      </c>
      <c r="X10" s="2" t="n">
        <v>319</v>
      </c>
      <c r="Y10" s="2" t="n">
        <v>320</v>
      </c>
      <c r="Z10" s="2" t="n">
        <v>323</v>
      </c>
      <c r="AA10" s="2" t="n">
        <v>328</v>
      </c>
      <c r="AB10" s="2" t="n">
        <v>313</v>
      </c>
      <c r="AC10" s="2" t="n">
        <v>311</v>
      </c>
      <c r="AD10" s="2" t="n">
        <v>310</v>
      </c>
      <c r="AE10" s="2" t="n">
        <v>302</v>
      </c>
      <c r="AF10" s="2" t="n">
        <v>313</v>
      </c>
      <c r="AG10" s="2" t="n">
        <v>312</v>
      </c>
      <c r="AH10" s="2" t="n">
        <v>308</v>
      </c>
      <c r="AI10" s="2" t="n">
        <v>304</v>
      </c>
      <c r="AJ10" s="2" t="n">
        <v>297</v>
      </c>
      <c r="AK10" s="2" t="n">
        <v>304</v>
      </c>
      <c r="AL10" s="2" t="n">
        <v>311</v>
      </c>
      <c r="AM10" s="2" t="n">
        <v>318</v>
      </c>
      <c r="AN10" s="2" t="n">
        <v>311</v>
      </c>
      <c r="AO10" s="2" t="n">
        <v>311</v>
      </c>
      <c r="AP10" s="2" t="n">
        <v>312</v>
      </c>
      <c r="AQ10" s="2" t="n">
        <v>312</v>
      </c>
      <c r="AR10" s="2" t="n">
        <v>315</v>
      </c>
      <c r="AS10" s="2" t="n">
        <v>307</v>
      </c>
      <c r="AT10" s="2" t="n">
        <v>302</v>
      </c>
      <c r="AU10" s="2" t="n">
        <v>306</v>
      </c>
      <c r="AV10" s="2" t="n">
        <v>312</v>
      </c>
      <c r="AW10" s="2" t="n">
        <v>306</v>
      </c>
      <c r="AX10" s="2" t="n">
        <v>304</v>
      </c>
      <c r="AY10" s="2" t="n">
        <v>312</v>
      </c>
      <c r="AZ10" s="2" t="n">
        <v>302</v>
      </c>
      <c r="BA10" s="2" t="n">
        <v>306</v>
      </c>
    </row>
    <row r="11" customFormat="false" ht="15" hidden="false" customHeight="false" outlineLevel="0" collapsed="false">
      <c r="A11" s="4" t="n">
        <v>46147.6493402778</v>
      </c>
      <c r="B11" s="5" t="n">
        <v>46147.6493402778</v>
      </c>
      <c r="D11" s="2" t="n">
        <v>233</v>
      </c>
      <c r="E11" s="2" t="n">
        <v>233</v>
      </c>
      <c r="F11" s="2" t="n">
        <v>233</v>
      </c>
      <c r="G11" s="2" t="n">
        <v>233</v>
      </c>
      <c r="H11" s="2" t="n">
        <v>497</v>
      </c>
      <c r="I11" s="2" t="n">
        <v>684</v>
      </c>
      <c r="J11" s="2" t="n">
        <v>745</v>
      </c>
      <c r="K11" s="2" t="n">
        <v>756</v>
      </c>
      <c r="L11" s="2" t="n">
        <v>746</v>
      </c>
      <c r="M11" s="2" t="n">
        <v>740</v>
      </c>
      <c r="N11" s="2" t="n">
        <v>733</v>
      </c>
      <c r="O11" s="2" t="n">
        <v>732</v>
      </c>
      <c r="P11" s="2" t="n">
        <v>722</v>
      </c>
      <c r="Q11" s="2" t="n">
        <v>723</v>
      </c>
      <c r="R11" s="2" t="n">
        <v>712</v>
      </c>
      <c r="S11" s="2" t="n">
        <v>714</v>
      </c>
      <c r="T11" s="2" t="n">
        <v>418</v>
      </c>
      <c r="U11" s="2" t="n">
        <v>310</v>
      </c>
      <c r="V11" s="2" t="n">
        <v>300</v>
      </c>
      <c r="W11" s="2" t="n">
        <v>295</v>
      </c>
      <c r="X11" s="2" t="n">
        <v>296</v>
      </c>
      <c r="Y11" s="2" t="n">
        <v>286</v>
      </c>
      <c r="Z11" s="2" t="n">
        <v>292</v>
      </c>
      <c r="AA11" s="2" t="n">
        <v>295</v>
      </c>
      <c r="AB11" s="2" t="n">
        <v>292</v>
      </c>
      <c r="AC11" s="2" t="n">
        <v>284</v>
      </c>
      <c r="AD11" s="2" t="n">
        <v>286</v>
      </c>
      <c r="AE11" s="2" t="n">
        <v>287</v>
      </c>
      <c r="AF11" s="2" t="n">
        <v>284</v>
      </c>
      <c r="AG11" s="2" t="n">
        <v>284</v>
      </c>
      <c r="AH11" s="2" t="n">
        <v>286</v>
      </c>
      <c r="AI11" s="2" t="n">
        <v>286</v>
      </c>
      <c r="AJ11" s="2" t="n">
        <v>282</v>
      </c>
      <c r="AK11" s="2" t="n">
        <v>274</v>
      </c>
      <c r="AL11" s="2" t="n">
        <v>277</v>
      </c>
      <c r="AM11" s="2" t="n">
        <v>280</v>
      </c>
      <c r="AN11" s="2" t="n">
        <v>280</v>
      </c>
      <c r="AO11" s="2" t="n">
        <v>280</v>
      </c>
      <c r="AP11" s="2" t="n">
        <v>280</v>
      </c>
      <c r="AQ11" s="2" t="n">
        <v>280</v>
      </c>
      <c r="AR11" s="2" t="n">
        <v>280</v>
      </c>
      <c r="AS11" s="2" t="n">
        <v>282</v>
      </c>
      <c r="AT11" s="2" t="n">
        <v>284</v>
      </c>
      <c r="AU11" s="2" t="n">
        <v>284</v>
      </c>
      <c r="AV11" s="2" t="n">
        <v>280</v>
      </c>
      <c r="AW11" s="2" t="n">
        <v>272</v>
      </c>
      <c r="AX11" s="2" t="n">
        <v>278</v>
      </c>
      <c r="AY11" s="2" t="n">
        <v>281</v>
      </c>
      <c r="AZ11" s="2" t="n">
        <v>280</v>
      </c>
      <c r="BA11" s="2" t="n">
        <v>288</v>
      </c>
    </row>
    <row r="12" customFormat="false" ht="15" hidden="false" customHeight="false" outlineLevel="0" collapsed="false">
      <c r="A12" s="4" t="n">
        <v>46147.6495138889</v>
      </c>
      <c r="B12" s="5" t="n">
        <v>46147.6495138889</v>
      </c>
      <c r="D12" s="2" t="n">
        <v>266</v>
      </c>
      <c r="E12" s="2" t="n">
        <v>266</v>
      </c>
      <c r="F12" s="2" t="n">
        <v>266</v>
      </c>
      <c r="G12" s="2" t="n">
        <v>266</v>
      </c>
      <c r="H12" s="2" t="n">
        <v>609</v>
      </c>
      <c r="I12" s="2" t="n">
        <v>809</v>
      </c>
      <c r="J12" s="2" t="n">
        <v>873</v>
      </c>
      <c r="K12" s="2" t="n">
        <v>884</v>
      </c>
      <c r="L12" s="2" t="n">
        <v>880</v>
      </c>
      <c r="M12" s="2" t="n">
        <v>878</v>
      </c>
      <c r="N12" s="2" t="n">
        <v>882</v>
      </c>
      <c r="O12" s="2" t="n">
        <v>873</v>
      </c>
      <c r="P12" s="2" t="n">
        <v>866</v>
      </c>
      <c r="Q12" s="2" t="n">
        <v>868</v>
      </c>
      <c r="R12" s="2" t="n">
        <v>862</v>
      </c>
      <c r="S12" s="2" t="n">
        <v>859</v>
      </c>
      <c r="T12" s="2" t="n">
        <v>473</v>
      </c>
      <c r="U12" s="2" t="n">
        <v>313</v>
      </c>
      <c r="V12" s="2" t="n">
        <v>312</v>
      </c>
      <c r="W12" s="2" t="n">
        <v>309</v>
      </c>
      <c r="X12" s="2" t="n">
        <v>300</v>
      </c>
      <c r="Y12" s="2" t="n">
        <v>300</v>
      </c>
      <c r="Z12" s="2" t="n">
        <v>299</v>
      </c>
      <c r="AA12" s="2" t="n">
        <v>298</v>
      </c>
      <c r="AB12" s="2" t="n">
        <v>304</v>
      </c>
      <c r="AC12" s="2" t="n">
        <v>302</v>
      </c>
      <c r="AD12" s="2" t="n">
        <v>300</v>
      </c>
      <c r="AE12" s="2" t="n">
        <v>298</v>
      </c>
      <c r="AF12" s="2" t="n">
        <v>302</v>
      </c>
      <c r="AG12" s="2" t="n">
        <v>294</v>
      </c>
      <c r="AH12" s="2" t="n">
        <v>295</v>
      </c>
      <c r="AI12" s="2" t="n">
        <v>300</v>
      </c>
      <c r="AJ12" s="2" t="n">
        <v>292</v>
      </c>
      <c r="AK12" s="2" t="n">
        <v>288</v>
      </c>
      <c r="AL12" s="2" t="n">
        <v>288</v>
      </c>
      <c r="AM12" s="2" t="n">
        <v>288</v>
      </c>
      <c r="AN12" s="2" t="n">
        <v>296</v>
      </c>
      <c r="AO12" s="2" t="n">
        <v>296</v>
      </c>
      <c r="AP12" s="2" t="n">
        <v>294</v>
      </c>
      <c r="AQ12" s="2" t="n">
        <v>292</v>
      </c>
      <c r="AR12" s="2" t="n">
        <v>304</v>
      </c>
      <c r="AS12" s="2" t="n">
        <v>292</v>
      </c>
      <c r="AT12" s="2" t="n">
        <v>291</v>
      </c>
      <c r="AU12" s="2" t="n">
        <v>294</v>
      </c>
      <c r="AV12" s="2" t="n">
        <v>290</v>
      </c>
      <c r="AW12" s="2" t="n">
        <v>291</v>
      </c>
      <c r="AX12" s="2" t="n">
        <v>292</v>
      </c>
      <c r="AY12" s="2" t="n">
        <v>292</v>
      </c>
      <c r="AZ12" s="2" t="n">
        <v>292</v>
      </c>
      <c r="BA12" s="2" t="n">
        <v>292</v>
      </c>
    </row>
    <row r="13" customFormat="false" ht="15" hidden="false" customHeight="false" outlineLevel="0" collapsed="false">
      <c r="A13" s="4" t="n">
        <v>46147.6497685185</v>
      </c>
      <c r="B13" s="5" t="n">
        <v>46147.6497685185</v>
      </c>
      <c r="D13" s="2" t="n">
        <v>274</v>
      </c>
      <c r="E13" s="2" t="n">
        <v>274</v>
      </c>
      <c r="F13" s="2" t="n">
        <v>274</v>
      </c>
      <c r="G13" s="2" t="n">
        <v>274</v>
      </c>
      <c r="H13" s="2" t="n">
        <v>509</v>
      </c>
      <c r="I13" s="2" t="n">
        <v>634</v>
      </c>
      <c r="J13" s="2" t="n">
        <v>678</v>
      </c>
      <c r="K13" s="2" t="n">
        <v>685</v>
      </c>
      <c r="L13" s="2" t="n">
        <v>677</v>
      </c>
      <c r="M13" s="2" t="n">
        <v>680</v>
      </c>
      <c r="N13" s="2" t="n">
        <v>672</v>
      </c>
      <c r="O13" s="2" t="n">
        <v>664</v>
      </c>
      <c r="P13" s="2" t="n">
        <v>667</v>
      </c>
      <c r="Q13" s="2" t="n">
        <v>660</v>
      </c>
      <c r="R13" s="2" t="n">
        <v>658</v>
      </c>
      <c r="S13" s="2" t="n">
        <v>657</v>
      </c>
      <c r="T13" s="2" t="n">
        <v>427</v>
      </c>
      <c r="U13" s="2" t="n">
        <v>346</v>
      </c>
      <c r="V13" s="2" t="n">
        <v>343</v>
      </c>
      <c r="W13" s="2" t="n">
        <v>338</v>
      </c>
      <c r="X13" s="2" t="n">
        <v>336</v>
      </c>
      <c r="Y13" s="2" t="n">
        <v>330</v>
      </c>
      <c r="Z13" s="2" t="n">
        <v>336</v>
      </c>
      <c r="AA13" s="2" t="n">
        <v>340</v>
      </c>
      <c r="AB13" s="2" t="n">
        <v>340</v>
      </c>
      <c r="AC13" s="2" t="n">
        <v>326</v>
      </c>
      <c r="AD13" s="2" t="n">
        <v>326</v>
      </c>
      <c r="AE13" s="2" t="n">
        <v>324</v>
      </c>
      <c r="AF13" s="2" t="n">
        <v>322</v>
      </c>
      <c r="AG13" s="2" t="n">
        <v>324</v>
      </c>
      <c r="AH13" s="2" t="n">
        <v>324</v>
      </c>
      <c r="AI13" s="2" t="n">
        <v>324</v>
      </c>
      <c r="AJ13" s="2" t="n">
        <v>326</v>
      </c>
      <c r="AK13" s="2" t="n">
        <v>324</v>
      </c>
      <c r="AL13" s="2" t="n">
        <v>324</v>
      </c>
      <c r="AM13" s="2" t="n">
        <v>322</v>
      </c>
      <c r="AN13" s="2" t="n">
        <v>320</v>
      </c>
      <c r="AO13" s="2" t="n">
        <v>318</v>
      </c>
      <c r="AP13" s="2" t="n">
        <v>316</v>
      </c>
      <c r="AQ13" s="2" t="n">
        <v>323</v>
      </c>
      <c r="AR13" s="2" t="n">
        <v>334</v>
      </c>
      <c r="AS13" s="2" t="n">
        <v>318</v>
      </c>
      <c r="AT13" s="2" t="n">
        <v>320</v>
      </c>
      <c r="AU13" s="2" t="n">
        <v>320</v>
      </c>
      <c r="AV13" s="2" t="n">
        <v>318</v>
      </c>
      <c r="AW13" s="2" t="n">
        <v>320</v>
      </c>
      <c r="AX13" s="2" t="n">
        <v>326</v>
      </c>
      <c r="AY13" s="2" t="n">
        <v>325</v>
      </c>
      <c r="AZ13" s="2" t="n">
        <v>318</v>
      </c>
      <c r="BA13" s="2" t="n">
        <v>328</v>
      </c>
    </row>
    <row r="14" customFormat="false" ht="15" hidden="false" customHeight="false" outlineLevel="0" collapsed="false">
      <c r="A14" s="4" t="n">
        <v>46147.65</v>
      </c>
      <c r="B14" s="5" t="n">
        <v>46147.65</v>
      </c>
      <c r="D14" s="2" t="n">
        <v>337</v>
      </c>
      <c r="E14" s="2" t="n">
        <v>337</v>
      </c>
      <c r="F14" s="2" t="n">
        <v>337</v>
      </c>
      <c r="G14" s="2" t="n">
        <v>337</v>
      </c>
      <c r="H14" s="2" t="n">
        <v>594</v>
      </c>
      <c r="I14" s="2" t="n">
        <v>715</v>
      </c>
      <c r="J14" s="2" t="n">
        <v>751</v>
      </c>
      <c r="K14" s="2" t="n">
        <v>757</v>
      </c>
      <c r="L14" s="2" t="n">
        <v>753</v>
      </c>
      <c r="M14" s="2" t="n">
        <v>754</v>
      </c>
      <c r="N14" s="2" t="n">
        <v>755</v>
      </c>
      <c r="O14" s="2" t="n">
        <v>751</v>
      </c>
      <c r="P14" s="2" t="n">
        <v>744</v>
      </c>
      <c r="Q14" s="2" t="n">
        <v>748</v>
      </c>
      <c r="R14" s="2" t="n">
        <v>748</v>
      </c>
      <c r="S14" s="2" t="n">
        <v>742</v>
      </c>
      <c r="T14" s="2" t="n">
        <v>516</v>
      </c>
      <c r="U14" s="2" t="n">
        <v>426</v>
      </c>
      <c r="V14" s="2" t="n">
        <v>419</v>
      </c>
      <c r="W14" s="2" t="n">
        <v>410</v>
      </c>
      <c r="X14" s="2" t="n">
        <v>406</v>
      </c>
      <c r="Y14" s="2" t="n">
        <v>407</v>
      </c>
      <c r="Z14" s="2" t="n">
        <v>404</v>
      </c>
      <c r="AA14" s="2" t="n">
        <v>400</v>
      </c>
      <c r="AB14" s="2" t="n">
        <v>396</v>
      </c>
      <c r="AC14" s="2" t="n">
        <v>399</v>
      </c>
      <c r="AD14" s="2" t="n">
        <v>398</v>
      </c>
      <c r="AE14" s="2" t="n">
        <v>394</v>
      </c>
      <c r="AF14" s="2" t="n">
        <v>400</v>
      </c>
      <c r="AG14" s="2" t="n">
        <v>397</v>
      </c>
      <c r="AH14" s="2" t="n">
        <v>395</v>
      </c>
      <c r="AI14" s="2" t="n">
        <v>394</v>
      </c>
      <c r="AJ14" s="2" t="n">
        <v>394</v>
      </c>
      <c r="AK14" s="2" t="n">
        <v>388</v>
      </c>
      <c r="AL14" s="2" t="n">
        <v>388</v>
      </c>
      <c r="AM14" s="2" t="n">
        <v>394</v>
      </c>
      <c r="AN14" s="2" t="n">
        <v>386</v>
      </c>
      <c r="AO14" s="2" t="n">
        <v>383</v>
      </c>
      <c r="AP14" s="2" t="n">
        <v>385</v>
      </c>
      <c r="AQ14" s="2" t="n">
        <v>390</v>
      </c>
      <c r="AR14" s="2" t="n">
        <v>382</v>
      </c>
      <c r="AS14" s="2" t="n">
        <v>394</v>
      </c>
      <c r="AT14" s="2" t="n">
        <v>402</v>
      </c>
      <c r="AU14" s="2" t="n">
        <v>402</v>
      </c>
      <c r="AV14" s="2" t="n">
        <v>392</v>
      </c>
      <c r="AW14" s="2" t="n">
        <v>394</v>
      </c>
      <c r="AX14" s="2" t="n">
        <v>395</v>
      </c>
      <c r="AY14" s="2" t="n">
        <v>394</v>
      </c>
      <c r="AZ14" s="2" t="n">
        <v>396</v>
      </c>
      <c r="BA14" s="2" t="n">
        <v>392</v>
      </c>
    </row>
    <row r="15" customFormat="false" ht="15" hidden="false" customHeight="false" outlineLevel="0" collapsed="false">
      <c r="A15" s="4" t="n">
        <v>46147.6506944444</v>
      </c>
      <c r="B15" s="5" t="n">
        <v>46147.6506944444</v>
      </c>
      <c r="D15" s="2" t="n">
        <v>276</v>
      </c>
      <c r="E15" s="2" t="n">
        <v>276</v>
      </c>
      <c r="F15" s="2" t="n">
        <v>276</v>
      </c>
      <c r="G15" s="2" t="n">
        <v>276</v>
      </c>
      <c r="H15" s="2" t="n">
        <v>564</v>
      </c>
      <c r="I15" s="2" t="n">
        <v>718</v>
      </c>
      <c r="J15" s="2" t="n">
        <v>753</v>
      </c>
      <c r="K15" s="2" t="n">
        <v>756</v>
      </c>
      <c r="L15" s="2" t="n">
        <v>760</v>
      </c>
      <c r="M15" s="2" t="n">
        <v>751</v>
      </c>
      <c r="N15" s="2" t="n">
        <v>755</v>
      </c>
      <c r="O15" s="2" t="n">
        <v>758</v>
      </c>
      <c r="P15" s="2" t="n">
        <v>756</v>
      </c>
      <c r="Q15" s="2" t="n">
        <v>758</v>
      </c>
      <c r="R15" s="2" t="n">
        <v>757</v>
      </c>
      <c r="S15" s="2" t="n">
        <v>756</v>
      </c>
      <c r="T15" s="2" t="n">
        <v>481</v>
      </c>
      <c r="U15" s="2" t="n">
        <v>385</v>
      </c>
      <c r="V15" s="2" t="n">
        <v>376</v>
      </c>
      <c r="W15" s="2" t="n">
        <v>375</v>
      </c>
      <c r="X15" s="2" t="n">
        <v>365</v>
      </c>
      <c r="Y15" s="2" t="n">
        <v>363</v>
      </c>
      <c r="Z15" s="2" t="n">
        <v>362</v>
      </c>
      <c r="AA15" s="2" t="n">
        <v>362</v>
      </c>
      <c r="AB15" s="2" t="n">
        <v>363</v>
      </c>
      <c r="AC15" s="2" t="n">
        <v>361</v>
      </c>
      <c r="AD15" s="2" t="n">
        <v>358</v>
      </c>
      <c r="AE15" s="2" t="n">
        <v>352</v>
      </c>
      <c r="AF15" s="2" t="n">
        <v>358</v>
      </c>
      <c r="AG15" s="2" t="n">
        <v>358</v>
      </c>
      <c r="AH15" s="2" t="n">
        <v>356</v>
      </c>
      <c r="AI15" s="2" t="n">
        <v>364</v>
      </c>
      <c r="AJ15" s="2" t="n">
        <v>352</v>
      </c>
      <c r="AK15" s="2" t="n">
        <v>350</v>
      </c>
      <c r="AL15" s="2" t="n">
        <v>352</v>
      </c>
      <c r="AM15" s="2" t="n">
        <v>362</v>
      </c>
      <c r="AN15" s="2" t="n">
        <v>357</v>
      </c>
      <c r="AO15" s="2" t="n">
        <v>354</v>
      </c>
      <c r="AP15" s="2" t="n">
        <v>352</v>
      </c>
      <c r="AQ15" s="2" t="n">
        <v>352</v>
      </c>
      <c r="AR15" s="2" t="n">
        <v>356</v>
      </c>
      <c r="AS15" s="2" t="n">
        <v>358</v>
      </c>
      <c r="AT15" s="2" t="n">
        <v>358</v>
      </c>
      <c r="AU15" s="2" t="n">
        <v>352</v>
      </c>
      <c r="AV15" s="2" t="n">
        <v>347</v>
      </c>
      <c r="AW15" s="2" t="n">
        <v>345</v>
      </c>
      <c r="AX15" s="2" t="n">
        <v>344</v>
      </c>
      <c r="AY15" s="2" t="n">
        <v>352</v>
      </c>
      <c r="AZ15" s="2" t="n">
        <v>350</v>
      </c>
      <c r="BA15" s="2" t="n">
        <v>350</v>
      </c>
    </row>
    <row r="16" customFormat="false" ht="15" hidden="false" customHeight="false" outlineLevel="0" collapsed="false">
      <c r="A16" s="4" t="n">
        <v>46147.6508680556</v>
      </c>
      <c r="B16" s="5" t="n">
        <v>46147.6508680556</v>
      </c>
      <c r="D16" s="2" t="n">
        <v>349</v>
      </c>
      <c r="E16" s="2" t="n">
        <v>349</v>
      </c>
      <c r="F16" s="2" t="n">
        <v>349</v>
      </c>
      <c r="G16" s="2" t="n">
        <v>349</v>
      </c>
      <c r="H16" s="2" t="n">
        <v>696</v>
      </c>
      <c r="I16" s="2" t="n">
        <v>928</v>
      </c>
      <c r="J16" s="2" t="n">
        <v>999</v>
      </c>
      <c r="K16" s="2" t="n">
        <v>996</v>
      </c>
      <c r="L16" s="2" t="n">
        <v>989</v>
      </c>
      <c r="M16" s="2" t="n">
        <v>977</v>
      </c>
      <c r="N16" s="2" t="n">
        <v>967</v>
      </c>
      <c r="O16" s="2" t="n">
        <v>962</v>
      </c>
      <c r="P16" s="2" t="n">
        <v>954</v>
      </c>
      <c r="Q16" s="2" t="n">
        <v>945</v>
      </c>
      <c r="R16" s="2" t="n">
        <v>936</v>
      </c>
      <c r="S16" s="2" t="n">
        <v>924</v>
      </c>
      <c r="T16" s="2" t="n">
        <v>582</v>
      </c>
      <c r="U16" s="2" t="n">
        <v>457</v>
      </c>
      <c r="V16" s="2" t="n">
        <v>446</v>
      </c>
      <c r="W16" s="2" t="n">
        <v>439</v>
      </c>
      <c r="X16" s="2" t="n">
        <v>431</v>
      </c>
      <c r="Y16" s="2" t="n">
        <v>426</v>
      </c>
      <c r="Z16" s="2" t="n">
        <v>422</v>
      </c>
      <c r="AA16" s="2" t="n">
        <v>422</v>
      </c>
      <c r="AB16" s="2" t="n">
        <v>425</v>
      </c>
      <c r="AC16" s="2" t="n">
        <v>422</v>
      </c>
      <c r="AD16" s="2" t="n">
        <v>416</v>
      </c>
      <c r="AE16" s="2" t="n">
        <v>420</v>
      </c>
      <c r="AF16" s="2" t="n">
        <v>416</v>
      </c>
      <c r="AG16" s="2" t="n">
        <v>416</v>
      </c>
      <c r="AH16" s="2" t="n">
        <v>416</v>
      </c>
      <c r="AI16" s="2" t="n">
        <v>418</v>
      </c>
      <c r="AJ16" s="2" t="n">
        <v>418</v>
      </c>
      <c r="AK16" s="2" t="n">
        <v>418</v>
      </c>
      <c r="AL16" s="2" t="n">
        <v>416</v>
      </c>
      <c r="AM16" s="2" t="n">
        <v>408</v>
      </c>
      <c r="AN16" s="2" t="n">
        <v>414</v>
      </c>
      <c r="AO16" s="2" t="n">
        <v>411</v>
      </c>
      <c r="AP16" s="2" t="n">
        <v>404</v>
      </c>
      <c r="AQ16" s="2" t="n">
        <v>408</v>
      </c>
      <c r="AR16" s="2" t="n">
        <v>411</v>
      </c>
      <c r="AS16" s="2" t="n">
        <v>410</v>
      </c>
      <c r="AT16" s="2" t="n">
        <v>407</v>
      </c>
      <c r="AU16" s="2" t="n">
        <v>406</v>
      </c>
      <c r="AV16" s="2" t="n">
        <v>404</v>
      </c>
      <c r="AW16" s="2" t="n">
        <v>405</v>
      </c>
      <c r="AX16" s="2" t="n">
        <v>407</v>
      </c>
      <c r="AY16" s="2" t="n">
        <v>406</v>
      </c>
      <c r="AZ16" s="2" t="n">
        <v>404</v>
      </c>
      <c r="BA16" s="2" t="n">
        <v>402</v>
      </c>
    </row>
    <row r="17" customFormat="false" ht="15" hidden="false" customHeight="false" outlineLevel="0" collapsed="false">
      <c r="A17" s="4" t="n">
        <v>46147.6511805556</v>
      </c>
      <c r="B17" s="5" t="n">
        <v>46147.6511805556</v>
      </c>
      <c r="D17" s="2" t="n">
        <v>294</v>
      </c>
      <c r="E17" s="2" t="n">
        <v>294</v>
      </c>
      <c r="F17" s="2" t="n">
        <v>294</v>
      </c>
      <c r="G17" s="2" t="n">
        <v>294</v>
      </c>
      <c r="H17" s="2" t="n">
        <v>602</v>
      </c>
      <c r="I17" s="2" t="n">
        <v>786</v>
      </c>
      <c r="J17" s="2" t="n">
        <v>848</v>
      </c>
      <c r="K17" s="2" t="n">
        <v>861</v>
      </c>
      <c r="L17" s="2" t="n">
        <v>860</v>
      </c>
      <c r="M17" s="2" t="n">
        <v>856</v>
      </c>
      <c r="N17" s="2" t="n">
        <v>860</v>
      </c>
      <c r="O17" s="2" t="n">
        <v>853</v>
      </c>
      <c r="P17" s="2" t="n">
        <v>850</v>
      </c>
      <c r="Q17" s="2" t="n">
        <v>848</v>
      </c>
      <c r="R17" s="2" t="n">
        <v>849</v>
      </c>
      <c r="S17" s="2" t="n">
        <v>842</v>
      </c>
      <c r="T17" s="2" t="n">
        <v>533</v>
      </c>
      <c r="U17" s="2" t="n">
        <v>410</v>
      </c>
      <c r="V17" s="2" t="n">
        <v>398</v>
      </c>
      <c r="W17" s="2" t="n">
        <v>399</v>
      </c>
      <c r="X17" s="2" t="n">
        <v>394</v>
      </c>
      <c r="Y17" s="2" t="n">
        <v>388</v>
      </c>
      <c r="Z17" s="2" t="n">
        <v>384</v>
      </c>
      <c r="AA17" s="2" t="n">
        <v>386</v>
      </c>
      <c r="AB17" s="2" t="n">
        <v>384</v>
      </c>
      <c r="AC17" s="2" t="n">
        <v>381</v>
      </c>
      <c r="AD17" s="2" t="n">
        <v>381</v>
      </c>
      <c r="AE17" s="2" t="n">
        <v>386</v>
      </c>
      <c r="AF17" s="2" t="n">
        <v>382</v>
      </c>
      <c r="AG17" s="2" t="n">
        <v>382</v>
      </c>
      <c r="AH17" s="2" t="n">
        <v>380</v>
      </c>
      <c r="AI17" s="2" t="n">
        <v>374</v>
      </c>
      <c r="AJ17" s="2" t="n">
        <v>372</v>
      </c>
      <c r="AK17" s="2" t="n">
        <v>379</v>
      </c>
      <c r="AL17" s="2" t="n">
        <v>383</v>
      </c>
      <c r="AM17" s="2" t="n">
        <v>380</v>
      </c>
      <c r="AN17" s="2" t="n">
        <v>367</v>
      </c>
      <c r="AO17" s="2" t="n">
        <v>364</v>
      </c>
      <c r="AP17" s="2" t="n">
        <v>364</v>
      </c>
      <c r="AQ17" s="2" t="n">
        <v>368</v>
      </c>
      <c r="AR17" s="2" t="n">
        <v>372</v>
      </c>
      <c r="AS17" s="2" t="n">
        <v>371</v>
      </c>
      <c r="AT17" s="2" t="n">
        <v>370</v>
      </c>
      <c r="AU17" s="2" t="n">
        <v>374</v>
      </c>
      <c r="AV17" s="2" t="n">
        <v>364</v>
      </c>
      <c r="AW17" s="2" t="n">
        <v>364</v>
      </c>
      <c r="AX17" s="2" t="n">
        <v>368</v>
      </c>
      <c r="AY17" s="2" t="n">
        <v>378</v>
      </c>
      <c r="AZ17" s="2" t="n">
        <v>363</v>
      </c>
      <c r="BA17" s="2" t="n">
        <v>362</v>
      </c>
    </row>
    <row r="18" customFormat="false" ht="15" hidden="false" customHeight="false" outlineLevel="0" collapsed="false">
      <c r="A18" s="4" t="n">
        <v>46147.6513310185</v>
      </c>
      <c r="B18" s="5" t="n">
        <v>46147.6513310185</v>
      </c>
      <c r="D18" s="2" t="n">
        <v>235</v>
      </c>
      <c r="E18" s="2" t="n">
        <v>235</v>
      </c>
      <c r="F18" s="2" t="n">
        <v>235</v>
      </c>
      <c r="G18" s="2" t="n">
        <v>235</v>
      </c>
      <c r="H18" s="2" t="n">
        <v>497</v>
      </c>
      <c r="I18" s="2" t="n">
        <v>669</v>
      </c>
      <c r="J18" s="2" t="n">
        <v>739</v>
      </c>
      <c r="K18" s="2" t="n">
        <v>750</v>
      </c>
      <c r="L18" s="2" t="n">
        <v>753</v>
      </c>
      <c r="M18" s="2" t="n">
        <v>749</v>
      </c>
      <c r="N18" s="2" t="n">
        <v>745</v>
      </c>
      <c r="O18" s="2" t="n">
        <v>741</v>
      </c>
      <c r="P18" s="2" t="n">
        <v>734</v>
      </c>
      <c r="Q18" s="2" t="n">
        <v>731</v>
      </c>
      <c r="R18" s="2" t="n">
        <v>736</v>
      </c>
      <c r="S18" s="2" t="n">
        <v>731</v>
      </c>
      <c r="T18" s="2" t="n">
        <v>484</v>
      </c>
      <c r="U18" s="2" t="n">
        <v>386</v>
      </c>
      <c r="V18" s="2" t="n">
        <v>383</v>
      </c>
      <c r="W18" s="2" t="n">
        <v>370</v>
      </c>
      <c r="X18" s="2" t="n">
        <v>368</v>
      </c>
      <c r="Y18" s="2" t="n">
        <v>356</v>
      </c>
      <c r="Z18" s="2" t="n">
        <v>362</v>
      </c>
      <c r="AA18" s="2" t="n">
        <v>359</v>
      </c>
      <c r="AB18" s="2" t="n">
        <v>357</v>
      </c>
      <c r="AC18" s="2" t="n">
        <v>356</v>
      </c>
      <c r="AD18" s="2" t="n">
        <v>356</v>
      </c>
      <c r="AE18" s="2" t="n">
        <v>348</v>
      </c>
      <c r="AF18" s="2" t="n">
        <v>348</v>
      </c>
      <c r="AG18" s="2" t="n">
        <v>354</v>
      </c>
      <c r="AH18" s="2" t="n">
        <v>338</v>
      </c>
      <c r="AI18" s="2" t="n">
        <v>342</v>
      </c>
      <c r="AJ18" s="2" t="n">
        <v>346</v>
      </c>
      <c r="AK18" s="2" t="n">
        <v>348</v>
      </c>
      <c r="AL18" s="2" t="n">
        <v>334</v>
      </c>
      <c r="AM18" s="2" t="n">
        <v>340</v>
      </c>
      <c r="AN18" s="2" t="n">
        <v>340</v>
      </c>
      <c r="AO18" s="2" t="n">
        <v>334</v>
      </c>
      <c r="AP18" s="2" t="n">
        <v>332</v>
      </c>
      <c r="AQ18" s="2" t="n">
        <v>329</v>
      </c>
      <c r="AR18" s="2" t="n">
        <v>331</v>
      </c>
      <c r="AS18" s="2" t="n">
        <v>336</v>
      </c>
      <c r="AT18" s="2" t="n">
        <v>334</v>
      </c>
      <c r="AU18" s="2" t="n">
        <v>330</v>
      </c>
      <c r="AV18" s="2" t="n">
        <v>326</v>
      </c>
      <c r="AW18" s="2" t="n">
        <v>324</v>
      </c>
      <c r="AX18" s="2" t="n">
        <v>328</v>
      </c>
      <c r="AY18" s="2" t="n">
        <v>323</v>
      </c>
      <c r="AZ18" s="2" t="n">
        <v>319</v>
      </c>
      <c r="BA18" s="2" t="n">
        <v>318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2026-05-05T14:15:26Z</dcterms:created>
  <dc:creator/>
  <dc:description/>
  <dc:language>en-US</dc:language>
  <cp:lastModifiedBy/>
  <dcterms:modified xsi:type="dcterms:W3CDTF">2026-05-05T14:15:26Z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